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Fulford\Dropbox\SPEE\REP-11\"/>
    </mc:Choice>
  </mc:AlternateContent>
  <xr:revisionPtr revIDLastSave="0" documentId="13_ncr:1_{EE6603A0-0A66-4E45-8829-177E819CC46F}" xr6:coauthVersionLast="47" xr6:coauthVersionMax="47" xr10:uidLastSave="{00000000-0000-0000-0000-000000000000}"/>
  <bookViews>
    <workbookView xWindow="38280" yWindow="-120" windowWidth="38640" windowHeight="21120" xr2:uid="{5AC488F8-9BC3-4790-B2DB-80233DD882CC}"/>
  </bookViews>
  <sheets>
    <sheet name="Sheet1" sheetId="1" r:id="rId1"/>
  </sheets>
  <definedNames>
    <definedName name="_b">Sheet1!$C$7</definedName>
    <definedName name="_Di">Sheet1!$C$6</definedName>
    <definedName name="_Dnom">Sheet1!$C$8</definedName>
    <definedName name="_qi">Sheet1!$C$5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1" l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Z5" i="1"/>
  <c r="AA5" i="1"/>
  <c r="D11" i="1"/>
  <c r="W5" i="1"/>
  <c r="Y5" i="1" s="1"/>
  <c r="AA4" i="1"/>
  <c r="C8" i="1"/>
  <c r="D12" i="1" l="1"/>
  <c r="D16" i="1"/>
  <c r="W6" i="1"/>
  <c r="X5" i="1"/>
  <c r="AC4" i="1"/>
  <c r="AK4" i="1" s="1"/>
  <c r="AD4" i="1"/>
  <c r="AC5" i="1"/>
  <c r="AK5" i="1" s="1"/>
  <c r="AD5" i="1"/>
  <c r="D15" i="1" l="1"/>
  <c r="AJ4" i="1"/>
  <c r="AJ5" i="1"/>
  <c r="W7" i="1"/>
  <c r="Y7" i="1" s="1"/>
  <c r="Y6" i="1"/>
  <c r="X6" i="1"/>
  <c r="AE5" i="1"/>
  <c r="AE4" i="1"/>
  <c r="W8" i="1" l="1"/>
  <c r="X7" i="1"/>
  <c r="W9" i="1" l="1"/>
  <c r="X8" i="1"/>
  <c r="Y8" i="1"/>
  <c r="W10" i="1" l="1"/>
  <c r="Y10" i="1" s="1"/>
  <c r="X9" i="1"/>
  <c r="Y9" i="1"/>
  <c r="W11" i="1" l="1"/>
  <c r="X10" i="1"/>
  <c r="W12" i="1" l="1"/>
  <c r="Y11" i="1"/>
  <c r="X11" i="1"/>
  <c r="W13" i="1" l="1"/>
  <c r="X12" i="1"/>
  <c r="Y12" i="1"/>
  <c r="Y13" i="1" l="1"/>
  <c r="W14" i="1"/>
  <c r="X13" i="1"/>
  <c r="W15" i="1" l="1"/>
  <c r="W16" i="1" s="1"/>
  <c r="X14" i="1"/>
  <c r="Y14" i="1"/>
  <c r="X15" i="1" l="1"/>
  <c r="Y15" i="1"/>
  <c r="Y16" i="1"/>
  <c r="X16" i="1"/>
  <c r="W17" i="1"/>
  <c r="X17" i="1" l="1"/>
  <c r="Y17" i="1"/>
  <c r="W18" i="1"/>
  <c r="X18" i="1" l="1"/>
  <c r="Y18" i="1"/>
  <c r="W19" i="1"/>
  <c r="X19" i="1" l="1"/>
  <c r="Y19" i="1"/>
  <c r="W20" i="1"/>
  <c r="X20" i="1" l="1"/>
  <c r="Y20" i="1"/>
  <c r="W21" i="1"/>
  <c r="Y21" i="1" l="1"/>
  <c r="X21" i="1"/>
  <c r="W22" i="1"/>
  <c r="Y22" i="1" l="1"/>
  <c r="X22" i="1"/>
  <c r="W23" i="1"/>
  <c r="Y23" i="1" l="1"/>
  <c r="X23" i="1"/>
  <c r="W24" i="1"/>
  <c r="Y24" i="1" l="1"/>
  <c r="X24" i="1"/>
  <c r="W25" i="1"/>
  <c r="Y25" i="1" l="1"/>
  <c r="X25" i="1"/>
  <c r="W26" i="1"/>
  <c r="Y26" i="1" l="1"/>
  <c r="X26" i="1"/>
  <c r="W27" i="1"/>
  <c r="Y27" i="1" l="1"/>
  <c r="X27" i="1"/>
  <c r="W28" i="1"/>
  <c r="Y28" i="1" l="1"/>
  <c r="X28" i="1"/>
  <c r="W29" i="1"/>
  <c r="Y29" i="1" l="1"/>
  <c r="X29" i="1"/>
  <c r="W30" i="1"/>
  <c r="X30" i="1" l="1"/>
  <c r="Y30" i="1"/>
  <c r="W31" i="1"/>
  <c r="Y31" i="1" l="1"/>
  <c r="X31" i="1"/>
  <c r="W32" i="1"/>
  <c r="X32" i="1" l="1"/>
  <c r="Y32" i="1"/>
  <c r="W33" i="1"/>
  <c r="X33" i="1" l="1"/>
  <c r="Y33" i="1"/>
  <c r="W34" i="1"/>
  <c r="X34" i="1" l="1"/>
  <c r="Y34" i="1"/>
  <c r="W35" i="1"/>
  <c r="Y35" i="1" l="1"/>
  <c r="X35" i="1"/>
  <c r="W36" i="1"/>
  <c r="Y36" i="1" l="1"/>
  <c r="X36" i="1"/>
  <c r="W37" i="1"/>
  <c r="X37" i="1" l="1"/>
  <c r="Y37" i="1"/>
  <c r="W38" i="1"/>
  <c r="Y38" i="1" l="1"/>
  <c r="X38" i="1"/>
  <c r="W39" i="1"/>
  <c r="X39" i="1" l="1"/>
  <c r="Y39" i="1"/>
  <c r="W40" i="1"/>
  <c r="Y40" i="1" l="1"/>
  <c r="X40" i="1"/>
  <c r="W41" i="1"/>
  <c r="Y41" i="1" l="1"/>
  <c r="X41" i="1"/>
  <c r="W42" i="1"/>
  <c r="X42" i="1" l="1"/>
  <c r="Y42" i="1"/>
  <c r="W43" i="1"/>
  <c r="Y43" i="1" l="1"/>
  <c r="X43" i="1"/>
  <c r="W44" i="1"/>
  <c r="Y44" i="1" l="1"/>
  <c r="X44" i="1"/>
  <c r="W45" i="1"/>
  <c r="Y45" i="1" l="1"/>
  <c r="X45" i="1"/>
  <c r="W46" i="1"/>
  <c r="Y46" i="1" l="1"/>
  <c r="X46" i="1"/>
  <c r="W47" i="1"/>
  <c r="Y47" i="1" l="1"/>
  <c r="X47" i="1"/>
  <c r="W48" i="1"/>
  <c r="Y48" i="1" l="1"/>
  <c r="X48" i="1"/>
  <c r="W49" i="1"/>
  <c r="Y49" i="1" l="1"/>
  <c r="X49" i="1"/>
  <c r="W50" i="1"/>
  <c r="X50" i="1" l="1"/>
  <c r="Y50" i="1"/>
  <c r="W51" i="1"/>
  <c r="Y51" i="1" l="1"/>
  <c r="X51" i="1"/>
  <c r="W52" i="1"/>
  <c r="X52" i="1" l="1"/>
  <c r="Y52" i="1"/>
  <c r="W53" i="1"/>
  <c r="X53" i="1" l="1"/>
  <c r="Y53" i="1"/>
  <c r="W54" i="1"/>
  <c r="X54" i="1" l="1"/>
  <c r="Y54" i="1"/>
  <c r="W55" i="1"/>
  <c r="Y55" i="1" l="1"/>
  <c r="X55" i="1"/>
  <c r="W56" i="1"/>
  <c r="Y56" i="1" l="1"/>
  <c r="X56" i="1"/>
  <c r="W57" i="1"/>
  <c r="Y57" i="1" l="1"/>
  <c r="X57" i="1"/>
  <c r="W58" i="1"/>
  <c r="Y58" i="1" l="1"/>
  <c r="X58" i="1"/>
  <c r="W59" i="1"/>
  <c r="X59" i="1" l="1"/>
  <c r="Y59" i="1"/>
  <c r="W60" i="1"/>
  <c r="Y60" i="1" l="1"/>
  <c r="X60" i="1"/>
  <c r="W61" i="1"/>
  <c r="Y61" i="1" l="1"/>
  <c r="X61" i="1"/>
  <c r="W62" i="1"/>
  <c r="X62" i="1" l="1"/>
  <c r="Y62" i="1"/>
  <c r="W63" i="1"/>
  <c r="X63" i="1" l="1"/>
  <c r="Y63" i="1"/>
  <c r="W64" i="1"/>
  <c r="X64" i="1" l="1"/>
  <c r="Y64" i="1"/>
  <c r="B21" i="1"/>
  <c r="C21" i="1" s="1" a="1"/>
  <c r="AD7" i="1"/>
  <c r="AE7" i="1" s="1"/>
  <c r="AC6" i="1"/>
  <c r="AJ6" i="1" s="1"/>
  <c r="AK6" i="1"/>
  <c r="AD6" i="1"/>
  <c r="AE6" i="1" s="1"/>
  <c r="Z6" i="1"/>
  <c r="Z7" i="1"/>
  <c r="AC7" i="1" s="1"/>
  <c r="B22" i="1"/>
  <c r="AJ7" i="1" l="1"/>
  <c r="AK7" i="1"/>
  <c r="C21" i="1"/>
  <c r="D21" i="1" a="1"/>
  <c r="Z8" i="1"/>
  <c r="AD8" i="1" l="1"/>
  <c r="AE8" i="1" s="1"/>
  <c r="Z9" i="1"/>
  <c r="AC8" i="1"/>
  <c r="D21" i="1"/>
  <c r="D24" i="1"/>
  <c r="Z10" i="1" l="1"/>
  <c r="AC9" i="1"/>
  <c r="AD9" i="1"/>
  <c r="AE9" i="1" s="1"/>
  <c r="AK8" i="1"/>
  <c r="AJ8" i="1"/>
  <c r="AJ9" i="1" l="1"/>
  <c r="AK9" i="1"/>
  <c r="Z11" i="1"/>
  <c r="AC10" i="1"/>
  <c r="AD10" i="1"/>
  <c r="AE10" i="1" s="1"/>
  <c r="AJ10" i="1" l="1"/>
  <c r="AK10" i="1"/>
  <c r="AD11" i="1"/>
  <c r="AE11" i="1" s="1"/>
  <c r="AC11" i="1"/>
  <c r="Z12" i="1"/>
  <c r="AC12" i="1" l="1"/>
  <c r="Z13" i="1"/>
  <c r="AD12" i="1"/>
  <c r="AE12" i="1" s="1"/>
  <c r="AJ11" i="1"/>
  <c r="AK11" i="1"/>
  <c r="AD13" i="1" l="1"/>
  <c r="AE13" i="1" s="1"/>
  <c r="AC13" i="1"/>
  <c r="Z14" i="1"/>
  <c r="AJ12" i="1"/>
  <c r="AK12" i="1"/>
  <c r="AD14" i="1" l="1"/>
  <c r="AE14" i="1" s="1"/>
  <c r="Z15" i="1"/>
  <c r="AC14" i="1"/>
  <c r="AJ13" i="1"/>
  <c r="AK13" i="1"/>
  <c r="AJ14" i="1" l="1"/>
  <c r="AK14" i="1"/>
  <c r="AC15" i="1"/>
  <c r="Z16" i="1"/>
  <c r="AD15" i="1"/>
  <c r="AE15" i="1" s="1"/>
  <c r="AD16" i="1" l="1"/>
  <c r="AE16" i="1" s="1"/>
  <c r="AC16" i="1"/>
  <c r="Z17" i="1"/>
  <c r="AK15" i="1"/>
  <c r="AJ15" i="1"/>
  <c r="AD17" i="1" l="1"/>
  <c r="AE17" i="1" s="1"/>
  <c r="Z18" i="1"/>
  <c r="AC17" i="1"/>
  <c r="AJ16" i="1"/>
  <c r="AK16" i="1"/>
  <c r="AJ17" i="1" l="1"/>
  <c r="AK17" i="1"/>
  <c r="AD18" i="1"/>
  <c r="AE18" i="1" s="1"/>
  <c r="AC18" i="1"/>
  <c r="Z19" i="1"/>
  <c r="Z20" i="1" l="1"/>
  <c r="AD19" i="1"/>
  <c r="AE19" i="1" s="1"/>
  <c r="AC19" i="1"/>
  <c r="AJ18" i="1"/>
  <c r="AK18" i="1"/>
  <c r="AK19" i="1" l="1"/>
  <c r="AJ19" i="1"/>
  <c r="Z21" i="1"/>
  <c r="AD20" i="1"/>
  <c r="AE20" i="1" s="1"/>
  <c r="AC20" i="1"/>
  <c r="AJ20" i="1" l="1"/>
  <c r="AK20" i="1"/>
  <c r="AD21" i="1"/>
  <c r="AE21" i="1" s="1"/>
  <c r="Z22" i="1"/>
  <c r="AC21" i="1"/>
  <c r="Z23" i="1" l="1"/>
  <c r="AD22" i="1"/>
  <c r="AE22" i="1" s="1"/>
  <c r="AC22" i="1"/>
  <c r="AK21" i="1"/>
  <c r="AJ21" i="1"/>
  <c r="AJ22" i="1" l="1"/>
  <c r="AK22" i="1"/>
  <c r="AC23" i="1"/>
  <c r="Z24" i="1"/>
  <c r="AD23" i="1"/>
  <c r="AE23" i="1" s="1"/>
  <c r="AD24" i="1" l="1"/>
  <c r="AE24" i="1" s="1"/>
  <c r="Z25" i="1"/>
  <c r="AC24" i="1"/>
  <c r="AJ23" i="1"/>
  <c r="AK23" i="1"/>
  <c r="AK24" i="1" l="1"/>
  <c r="AJ24" i="1"/>
  <c r="Z26" i="1"/>
  <c r="AD25" i="1"/>
  <c r="AE25" i="1" s="1"/>
  <c r="AC25" i="1"/>
  <c r="AJ25" i="1" l="1"/>
  <c r="AK25" i="1"/>
  <c r="AD26" i="1"/>
  <c r="AE26" i="1" s="1"/>
  <c r="Z27" i="1"/>
  <c r="AC26" i="1"/>
  <c r="Z28" i="1" l="1"/>
  <c r="AD27" i="1"/>
  <c r="AE27" i="1" s="1"/>
  <c r="AC27" i="1"/>
  <c r="AJ26" i="1"/>
  <c r="AK26" i="1"/>
  <c r="AJ27" i="1" l="1"/>
  <c r="AK27" i="1"/>
  <c r="AD28" i="1"/>
  <c r="AE28" i="1" s="1"/>
  <c r="Z29" i="1"/>
  <c r="AC28" i="1"/>
  <c r="AJ28" i="1" l="1"/>
  <c r="AK28" i="1"/>
  <c r="AC29" i="1"/>
  <c r="AD29" i="1"/>
  <c r="AE29" i="1" s="1"/>
  <c r="Z30" i="1"/>
  <c r="AC30" i="1" l="1"/>
  <c r="Z31" i="1"/>
  <c r="AD30" i="1"/>
  <c r="AE30" i="1" s="1"/>
  <c r="AJ29" i="1"/>
  <c r="AK29" i="1"/>
  <c r="AD31" i="1" l="1"/>
  <c r="AE31" i="1" s="1"/>
  <c r="AC31" i="1"/>
  <c r="Z32" i="1"/>
  <c r="AJ30" i="1"/>
  <c r="AK30" i="1"/>
  <c r="Z33" i="1" l="1"/>
  <c r="AD32" i="1"/>
  <c r="AE32" i="1" s="1"/>
  <c r="AC32" i="1"/>
  <c r="AJ31" i="1"/>
  <c r="AK31" i="1"/>
  <c r="AK32" i="1" l="1"/>
  <c r="AJ32" i="1"/>
  <c r="AD33" i="1"/>
  <c r="AE33" i="1" s="1"/>
  <c r="Z34" i="1"/>
  <c r="AC33" i="1"/>
  <c r="AD34" i="1" l="1"/>
  <c r="AE34" i="1" s="1"/>
  <c r="AC34" i="1"/>
  <c r="Z35" i="1"/>
  <c r="AJ33" i="1"/>
  <c r="AK33" i="1"/>
  <c r="AC35" i="1" l="1"/>
  <c r="AD35" i="1"/>
  <c r="AE35" i="1" s="1"/>
  <c r="Z36" i="1"/>
  <c r="AJ34" i="1"/>
  <c r="AK34" i="1"/>
  <c r="Z37" i="1" l="1"/>
  <c r="AC36" i="1"/>
  <c r="AD36" i="1"/>
  <c r="AE36" i="1" s="1"/>
  <c r="AJ35" i="1"/>
  <c r="AK35" i="1"/>
  <c r="AJ36" i="1" l="1"/>
  <c r="AK36" i="1"/>
  <c r="AC37" i="1"/>
  <c r="AD37" i="1"/>
  <c r="AE37" i="1" s="1"/>
  <c r="Z38" i="1"/>
  <c r="AD38" i="1" l="1"/>
  <c r="AE38" i="1" s="1"/>
  <c r="Z39" i="1"/>
  <c r="AC38" i="1"/>
  <c r="AK37" i="1"/>
  <c r="AJ37" i="1"/>
  <c r="AJ38" i="1" l="1"/>
  <c r="AK38" i="1"/>
  <c r="AD39" i="1"/>
  <c r="AE39" i="1" s="1"/>
  <c r="AC39" i="1"/>
  <c r="Z40" i="1"/>
  <c r="AK39" i="1" l="1"/>
  <c r="AJ39" i="1"/>
  <c r="AD40" i="1"/>
  <c r="AE40" i="1" s="1"/>
  <c r="Z41" i="1"/>
  <c r="AC40" i="1"/>
  <c r="AD41" i="1" l="1"/>
  <c r="AE41" i="1" s="1"/>
  <c r="AC41" i="1"/>
  <c r="Z42" i="1"/>
  <c r="AJ40" i="1"/>
  <c r="AK40" i="1"/>
  <c r="Z43" i="1" l="1"/>
  <c r="AC42" i="1"/>
  <c r="AD42" i="1"/>
  <c r="AE42" i="1" s="1"/>
  <c r="AJ41" i="1"/>
  <c r="AK41" i="1"/>
  <c r="AK42" i="1" l="1"/>
  <c r="AJ42" i="1"/>
  <c r="AD43" i="1"/>
  <c r="AE43" i="1" s="1"/>
  <c r="Z44" i="1"/>
  <c r="AC43" i="1"/>
  <c r="AJ43" i="1" l="1"/>
  <c r="AK43" i="1"/>
  <c r="Z45" i="1"/>
  <c r="AC44" i="1"/>
  <c r="AD44" i="1"/>
  <c r="AE44" i="1" s="1"/>
  <c r="AJ44" i="1" l="1"/>
  <c r="AK44" i="1"/>
  <c r="AD45" i="1"/>
  <c r="AE45" i="1" s="1"/>
  <c r="Z46" i="1"/>
  <c r="AC45" i="1"/>
  <c r="AJ45" i="1" l="1"/>
  <c r="AK45" i="1"/>
  <c r="Z47" i="1"/>
  <c r="AD46" i="1"/>
  <c r="AE46" i="1" s="1"/>
  <c r="AC46" i="1"/>
  <c r="AJ46" i="1" l="1"/>
  <c r="AK46" i="1"/>
  <c r="AC47" i="1"/>
  <c r="AD47" i="1"/>
  <c r="AE47" i="1" s="1"/>
  <c r="Z48" i="1"/>
  <c r="AC48" i="1" l="1"/>
  <c r="AD48" i="1"/>
  <c r="AE48" i="1" s="1"/>
  <c r="Z49" i="1"/>
  <c r="AJ47" i="1"/>
  <c r="AK47" i="1"/>
  <c r="AC49" i="1" l="1"/>
  <c r="Z50" i="1"/>
  <c r="AD49" i="1"/>
  <c r="AE49" i="1" s="1"/>
  <c r="AJ48" i="1"/>
  <c r="AK48" i="1"/>
  <c r="AD50" i="1" l="1"/>
  <c r="AE50" i="1" s="1"/>
  <c r="AC50" i="1"/>
  <c r="Z51" i="1"/>
  <c r="AJ49" i="1"/>
  <c r="AK49" i="1"/>
  <c r="AK50" i="1" l="1"/>
  <c r="AJ50" i="1"/>
  <c r="AD51" i="1"/>
  <c r="AE51" i="1" s="1"/>
  <c r="AC51" i="1"/>
  <c r="Z52" i="1"/>
  <c r="Z53" i="1" l="1"/>
  <c r="AC52" i="1"/>
  <c r="AD52" i="1"/>
  <c r="AE52" i="1" s="1"/>
  <c r="AJ51" i="1"/>
  <c r="AK51" i="1"/>
  <c r="AJ52" i="1" l="1"/>
  <c r="AK52" i="1"/>
  <c r="Z54" i="1"/>
  <c r="AC53" i="1"/>
  <c r="AD53" i="1"/>
  <c r="AE53" i="1" s="1"/>
  <c r="AJ53" i="1" l="1"/>
  <c r="AK53" i="1"/>
  <c r="Z55" i="1"/>
  <c r="AC54" i="1"/>
  <c r="AD54" i="1"/>
  <c r="AE54" i="1" s="1"/>
  <c r="AJ54" i="1" l="1"/>
  <c r="AK54" i="1"/>
  <c r="AC55" i="1"/>
  <c r="Z56" i="1"/>
  <c r="AD55" i="1"/>
  <c r="AE55" i="1" s="1"/>
  <c r="Z57" i="1" l="1"/>
  <c r="AC56" i="1"/>
  <c r="AD56" i="1"/>
  <c r="AE56" i="1" s="1"/>
  <c r="AK55" i="1"/>
  <c r="AJ55" i="1"/>
  <c r="AK56" i="1" l="1"/>
  <c r="AJ56" i="1"/>
  <c r="AD57" i="1"/>
  <c r="AE57" i="1" s="1"/>
  <c r="AC57" i="1"/>
  <c r="Z58" i="1"/>
  <c r="Z59" i="1" l="1"/>
  <c r="AC58" i="1"/>
  <c r="AD58" i="1"/>
  <c r="AE58" i="1" s="1"/>
  <c r="AK57" i="1"/>
  <c r="AJ57" i="1"/>
  <c r="AJ58" i="1" l="1"/>
  <c r="AK58" i="1"/>
  <c r="Z60" i="1"/>
  <c r="AD59" i="1"/>
  <c r="AE59" i="1" s="1"/>
  <c r="AC59" i="1"/>
  <c r="AK59" i="1" l="1"/>
  <c r="AJ59" i="1"/>
  <c r="AC60" i="1"/>
  <c r="Z61" i="1"/>
  <c r="AD60" i="1"/>
  <c r="AE60" i="1" s="1"/>
  <c r="AC61" i="1" l="1"/>
  <c r="Z62" i="1"/>
  <c r="AD61" i="1"/>
  <c r="AE61" i="1" s="1"/>
  <c r="AJ60" i="1"/>
  <c r="AK60" i="1"/>
  <c r="AJ61" i="1" l="1"/>
  <c r="AK61" i="1"/>
  <c r="Z63" i="1"/>
  <c r="AD62" i="1"/>
  <c r="AE62" i="1" s="1"/>
  <c r="AC62" i="1"/>
  <c r="AK62" i="1" l="1"/>
  <c r="AJ62" i="1"/>
  <c r="Z64" i="1"/>
  <c r="AC63" i="1"/>
  <c r="AD63" i="1"/>
  <c r="AE63" i="1" s="1"/>
  <c r="AC64" i="1" l="1"/>
  <c r="AD64" i="1"/>
  <c r="AE64" i="1" s="1"/>
  <c r="AF4" i="1" a="1"/>
  <c r="AK63" i="1"/>
  <c r="AJ63" i="1"/>
  <c r="AF4" i="1" l="1"/>
  <c r="AG4" i="1" a="1"/>
  <c r="C26" i="1"/>
  <c r="D26" i="1" s="1"/>
  <c r="AJ64" i="1"/>
  <c r="AK64" i="1"/>
  <c r="AH19" i="1" l="1"/>
  <c r="AH60" i="1"/>
  <c r="AH45" i="1"/>
  <c r="AH46" i="1"/>
  <c r="AH48" i="1"/>
  <c r="AH37" i="1"/>
  <c r="AH54" i="1"/>
  <c r="AH28" i="1"/>
  <c r="AH40" i="1"/>
  <c r="AH49" i="1"/>
  <c r="AH26" i="1"/>
  <c r="AH55" i="1"/>
  <c r="AH8" i="1"/>
  <c r="AH50" i="1"/>
  <c r="AH30" i="1"/>
  <c r="AH57" i="1"/>
  <c r="AH7" i="1"/>
  <c r="AH51" i="1"/>
  <c r="AH61" i="1"/>
  <c r="AH29" i="1"/>
  <c r="AH32" i="1"/>
  <c r="AH13" i="1"/>
  <c r="AH21" i="1"/>
  <c r="AH52" i="1"/>
  <c r="AH34" i="1"/>
  <c r="AH20" i="1"/>
  <c r="AH53" i="1"/>
  <c r="AH16" i="1"/>
  <c r="AH31" i="1"/>
  <c r="AH9" i="1"/>
  <c r="AH41" i="1"/>
  <c r="AH42" i="1"/>
  <c r="AH18" i="1"/>
  <c r="AH64" i="1"/>
  <c r="AG4" i="1"/>
  <c r="AH4" i="1" s="1"/>
  <c r="AH11" i="1"/>
  <c r="AH56" i="1"/>
  <c r="AH25" i="1"/>
  <c r="AH59" i="1"/>
  <c r="AH24" i="1"/>
  <c r="AH22" i="1"/>
  <c r="AH10" i="1"/>
  <c r="AH33" i="1"/>
  <c r="AH14" i="1"/>
  <c r="AH43" i="1"/>
  <c r="AH62" i="1"/>
  <c r="AH23" i="1"/>
  <c r="AH6" i="1"/>
  <c r="AH15" i="1"/>
  <c r="AH27" i="1"/>
  <c r="AH17" i="1"/>
  <c r="AH38" i="1"/>
  <c r="AH63" i="1"/>
  <c r="AH47" i="1"/>
  <c r="AH36" i="1"/>
  <c r="AH58" i="1"/>
  <c r="AH35" i="1"/>
  <c r="AH44" i="1"/>
  <c r="AH39" i="1"/>
  <c r="AH12" i="1"/>
  <c r="AH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<sst xmlns="http://schemas.openxmlformats.org/spreadsheetml/2006/main" count="40" uniqueCount="34">
  <si>
    <t>b</t>
  </si>
  <si>
    <t>Secant Annual Effective</t>
  </si>
  <si>
    <t>dimen.</t>
  </si>
  <si>
    <t>BPD / MCFD</t>
  </si>
  <si>
    <r>
      <t>q</t>
    </r>
    <r>
      <rPr>
        <b/>
        <i/>
        <vertAlign val="subscript"/>
        <sz val="11"/>
        <color rgb="FFFEFFFF"/>
        <rFont val="Aptos Narrow"/>
        <family val="2"/>
        <scheme val="minor"/>
      </rPr>
      <t>i</t>
    </r>
  </si>
  <si>
    <r>
      <t>D</t>
    </r>
    <r>
      <rPr>
        <b/>
        <i/>
        <vertAlign val="subscript"/>
        <sz val="11"/>
        <color rgb="FFFEFFFF"/>
        <rFont val="Aptos Narrow"/>
        <family val="2"/>
        <scheme val="minor"/>
      </rPr>
      <t>i</t>
    </r>
  </si>
  <si>
    <r>
      <t>D</t>
    </r>
    <r>
      <rPr>
        <b/>
        <i/>
        <vertAlign val="subscript"/>
        <sz val="11"/>
        <color rgb="FFFEFFFF"/>
        <rFont val="Aptos Narrow"/>
        <family val="2"/>
        <scheme val="minor"/>
      </rPr>
      <t>nom</t>
    </r>
  </si>
  <si>
    <r>
      <t>day</t>
    </r>
    <r>
      <rPr>
        <b/>
        <i/>
        <vertAlign val="superscript"/>
        <sz val="11"/>
        <color rgb="FFFEFFFF"/>
        <rFont val="Aptos Narrow"/>
        <family val="2"/>
        <scheme val="minor"/>
      </rPr>
      <t>-1</t>
    </r>
  </si>
  <si>
    <t>Date</t>
  </si>
  <si>
    <t>Month Number</t>
  </si>
  <si>
    <t>Rate,
BPD / MCFD</t>
  </si>
  <si>
    <t>Time,
Days</t>
  </si>
  <si>
    <t>Interval Volume,
MBBL / MMCF</t>
  </si>
  <si>
    <t>Cumulative Volume,
MBBL / MMCF</t>
  </si>
  <si>
    <t>Start Date</t>
  </si>
  <si>
    <t>End of Month</t>
  </si>
  <si>
    <t>Days In Month</t>
  </si>
  <si>
    <t>-</t>
  </si>
  <si>
    <t>Linearized Rate vs Time</t>
  </si>
  <si>
    <t>Slope</t>
  </si>
  <si>
    <t>Intercept</t>
  </si>
  <si>
    <t>Linearized Cumulative Volume  vs Time</t>
  </si>
  <si>
    <t>Time</t>
  </si>
  <si>
    <t>Rate</t>
  </si>
  <si>
    <t>Cumulative Volume</t>
  </si>
  <si>
    <t>Example Calculation</t>
  </si>
  <si>
    <t>Interval Volume</t>
  </si>
  <si>
    <r>
      <t>q</t>
    </r>
    <r>
      <rPr>
        <b/>
        <vertAlign val="superscript"/>
        <sz val="11"/>
        <color rgb="FFFEFFFF"/>
        <rFont val="Aptos Narrow"/>
        <family val="2"/>
        <scheme val="minor"/>
      </rPr>
      <t>-b</t>
    </r>
  </si>
  <si>
    <r>
      <t>q</t>
    </r>
    <r>
      <rPr>
        <b/>
        <vertAlign val="superscript"/>
        <sz val="11"/>
        <color rgb="FFFEFFFF"/>
        <rFont val="Aptos Narrow"/>
        <family val="2"/>
        <scheme val="minor"/>
      </rPr>
      <t>1-b</t>
    </r>
  </si>
  <si>
    <t>Linearization Approach</t>
  </si>
  <si>
    <t>Arps Calculations</t>
  </si>
  <si>
    <t>Chart Columns</t>
  </si>
  <si>
    <t>Time Arrays</t>
  </si>
  <si>
    <t>EUR 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</si>
</sst>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000"/>
    <numFmt numFmtId="166" formatCode="yyyy\-mm\-dd"/>
    <numFmt numFmtId="167" formatCode="#,##0.000000000"/>
  </numFmts>
  <fonts count="6" x14ac:knownFonts="1">
    <font>
      <sz val="11"/>
      <color theme="1"/>
      <name val="Aptos Narrow"/>
      <family val="2"/>
      <scheme val="minor"/>
    </font>
    <font>
      <b/>
      <i/>
      <sz val="11"/>
      <color rgb="FFFEFFFF"/>
      <name val="Aptos Narrow"/>
      <family val="2"/>
      <scheme val="minor"/>
    </font>
    <font>
      <b/>
      <i/>
      <vertAlign val="subscript"/>
      <sz val="11"/>
      <color rgb="FFFEFFFF"/>
      <name val="Aptos Narrow"/>
      <family val="2"/>
      <scheme val="minor"/>
    </font>
    <font>
      <b/>
      <i/>
      <vertAlign val="superscript"/>
      <sz val="11"/>
      <color rgb="FFFEFFFF"/>
      <name val="Aptos Narrow"/>
      <family val="2"/>
      <scheme val="minor"/>
    </font>
    <font>
      <b/>
      <sz val="11"/>
      <color rgb="FFFEFFFF"/>
      <name val="Aptos Narrow"/>
      <family val="2"/>
      <scheme val="minor"/>
    </font>
    <font>
      <b/>
      <vertAlign val="superscript"/>
      <sz val="11"/>
      <color rgb="FFFE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53">
    <xf numFmtId="0" fontId="0" fillId="0" borderId="0" xfId="0"/>
    <xf numFmtId="4" fontId="4" fillId="2" borderId="1" xfId="0" applyNumberFormat="1" applyFont="1" applyFill="1" applyBorder="1" applyAlignment="1">
      <alignment horizontal="centerContinuous"/>
    </xf>
    <xf numFmtId="4" fontId="4" fillId="2" borderId="2" xfId="0" applyNumberFormat="1" applyFont="1" applyFill="1" applyBorder="1" applyAlignment="1">
      <alignment horizontal="centerContinuous"/>
    </xf>
    <xf numFmtId="4" fontId="4" fillId="2" borderId="7" xfId="0" applyNumberFormat="1" applyFont="1" applyFill="1" applyBorder="1" applyAlignment="1">
      <alignment horizontal="centerContinuous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 indent="1"/>
    </xf>
    <xf numFmtId="4" fontId="0" fillId="0" borderId="0" xfId="0" applyNumberFormat="1" applyAlignment="1">
      <alignment horizontal="right" indent="1"/>
    </xf>
    <xf numFmtId="0" fontId="0" fillId="0" borderId="0" xfId="0" applyAlignment="1">
      <alignment horizontal="right" indent="2"/>
    </xf>
    <xf numFmtId="4" fontId="4" fillId="2" borderId="4" xfId="0" applyNumberFormat="1" applyFont="1" applyFill="1" applyBorder="1" applyAlignment="1">
      <alignment horizontal="centerContinuous"/>
    </xf>
    <xf numFmtId="4" fontId="4" fillId="2" borderId="5" xfId="0" applyNumberFormat="1" applyFont="1" applyFill="1" applyBorder="1" applyAlignment="1">
      <alignment horizontal="centerContinuous"/>
    </xf>
    <xf numFmtId="4" fontId="4" fillId="2" borderId="3" xfId="0" applyNumberFormat="1" applyFont="1" applyFill="1" applyBorder="1" applyAlignment="1">
      <alignment horizontal="center" wrapText="1"/>
    </xf>
    <xf numFmtId="4" fontId="4" fillId="2" borderId="6" xfId="0" applyNumberFormat="1" applyFont="1" applyFill="1" applyBorder="1" applyAlignment="1">
      <alignment horizontal="center" wrapText="1"/>
    </xf>
    <xf numFmtId="4" fontId="4" fillId="2" borderId="5" xfId="0" applyNumberFormat="1" applyFont="1" applyFill="1" applyBorder="1" applyAlignment="1">
      <alignment horizontal="center" wrapText="1"/>
    </xf>
    <xf numFmtId="4" fontId="4" fillId="2" borderId="8" xfId="0" applyNumberFormat="1" applyFont="1" applyFill="1" applyBorder="1" applyAlignment="1">
      <alignment horizontal="center" wrapText="1"/>
    </xf>
    <xf numFmtId="4" fontId="0" fillId="0" borderId="0" xfId="0" applyNumberFormat="1" applyAlignment="1">
      <alignment horizontal="right" indent="2"/>
    </xf>
    <xf numFmtId="164" fontId="4" fillId="2" borderId="8" xfId="0" applyNumberFormat="1" applyFont="1" applyFill="1" applyBorder="1" applyAlignment="1">
      <alignment horizontal="center" wrapText="1"/>
    </xf>
    <xf numFmtId="166" fontId="0" fillId="4" borderId="0" xfId="0" applyNumberFormat="1" applyFill="1" applyAlignment="1">
      <alignment horizontal="center"/>
    </xf>
    <xf numFmtId="0" fontId="0" fillId="5" borderId="0" xfId="0" applyFill="1" applyAlignment="1">
      <alignment horizontal="right" indent="2"/>
    </xf>
    <xf numFmtId="164" fontId="0" fillId="5" borderId="0" xfId="0" applyNumberFormat="1" applyFill="1" applyAlignment="1">
      <alignment horizontal="right" indent="1"/>
    </xf>
    <xf numFmtId="0" fontId="0" fillId="5" borderId="0" xfId="0" applyFill="1" applyAlignment="1">
      <alignment horizontal="right" indent="1"/>
    </xf>
    <xf numFmtId="4" fontId="0" fillId="5" borderId="0" xfId="0" applyNumberFormat="1" applyFill="1" applyAlignment="1">
      <alignment horizontal="right" indent="1"/>
    </xf>
    <xf numFmtId="0" fontId="4" fillId="2" borderId="8" xfId="0" applyFont="1" applyFill="1" applyBorder="1" applyAlignment="1">
      <alignment horizontal="center" wrapText="1"/>
    </xf>
    <xf numFmtId="166" fontId="4" fillId="2" borderId="8" xfId="0" applyNumberFormat="1" applyFont="1" applyFill="1" applyBorder="1" applyAlignment="1">
      <alignment horizontal="center" wrapText="1"/>
    </xf>
    <xf numFmtId="0" fontId="0" fillId="7" borderId="0" xfId="0" applyFill="1" applyAlignment="1">
      <alignment horizontal="center"/>
    </xf>
    <xf numFmtId="0" fontId="0" fillId="7" borderId="0" xfId="0" applyFill="1"/>
    <xf numFmtId="4" fontId="0" fillId="7" borderId="0" xfId="0" applyNumberFormat="1" applyFill="1"/>
    <xf numFmtId="0" fontId="4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"/>
    </xf>
    <xf numFmtId="4" fontId="4" fillId="3" borderId="0" xfId="0" applyNumberFormat="1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0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0" fillId="0" borderId="9" xfId="0" applyBorder="1" applyAlignment="1">
      <alignment horizontal="center"/>
    </xf>
    <xf numFmtId="4" fontId="0" fillId="0" borderId="0" xfId="0" applyNumberFormat="1"/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3" xfId="0" applyFill="1" applyBorder="1"/>
    <xf numFmtId="0" fontId="0" fillId="7" borderId="14" xfId="0" applyFill="1" applyBorder="1"/>
    <xf numFmtId="4" fontId="0" fillId="7" borderId="14" xfId="0" applyNumberFormat="1" applyFill="1" applyBorder="1"/>
    <xf numFmtId="0" fontId="0" fillId="7" borderId="15" xfId="0" applyFill="1" applyBorder="1"/>
    <xf numFmtId="0" fontId="0" fillId="7" borderId="16" xfId="0" applyFill="1" applyBorder="1"/>
    <xf numFmtId="4" fontId="0" fillId="7" borderId="16" xfId="0" applyNumberFormat="1" applyFill="1" applyBorder="1"/>
    <xf numFmtId="0" fontId="0" fillId="7" borderId="17" xfId="0" applyFill="1" applyBorder="1"/>
    <xf numFmtId="3" fontId="4" fillId="6" borderId="0" xfId="0" applyNumberFormat="1" applyFont="1" applyFill="1" applyAlignment="1">
      <alignment horizontal="center"/>
    </xf>
    <xf numFmtId="167" fontId="4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Linearized</a:t>
            </a:r>
            <a:r>
              <a:rPr lang="en-US" sz="1600" baseline="0"/>
              <a:t> Rate v Time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9.8737860892388341E-2"/>
          <c:y val="0.13562095363079613"/>
          <c:w val="0.87916666666666665"/>
          <c:h val="0.80064479440069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1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174901574803149"/>
                  <c:y val="-5.3501749781277343E-3"/>
                </c:manualLayout>
              </c:layout>
              <c:numFmt formatCode="General" sourceLinked="0"/>
              <c:spPr>
                <a:solidFill>
                  <a:schemeClr val="bg1">
                    <a:alpha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Sheet1!$Z$4:$Z$64</c:f>
              <c:numCache>
                <c:formatCode>#,##0.0000</c:formatCode>
                <c:ptCount val="61"/>
                <c:pt idx="0">
                  <c:v>0</c:v>
                </c:pt>
                <c:pt idx="1">
                  <c:v>31</c:v>
                </c:pt>
                <c:pt idx="2">
                  <c:v>59</c:v>
                </c:pt>
                <c:pt idx="3">
                  <c:v>90</c:v>
                </c:pt>
                <c:pt idx="4">
                  <c:v>120</c:v>
                </c:pt>
                <c:pt idx="5">
                  <c:v>151</c:v>
                </c:pt>
                <c:pt idx="6">
                  <c:v>181</c:v>
                </c:pt>
                <c:pt idx="7">
                  <c:v>212</c:v>
                </c:pt>
                <c:pt idx="8">
                  <c:v>243</c:v>
                </c:pt>
                <c:pt idx="9">
                  <c:v>273</c:v>
                </c:pt>
                <c:pt idx="10">
                  <c:v>304</c:v>
                </c:pt>
                <c:pt idx="11">
                  <c:v>334</c:v>
                </c:pt>
                <c:pt idx="12">
                  <c:v>365</c:v>
                </c:pt>
                <c:pt idx="13">
                  <c:v>396</c:v>
                </c:pt>
                <c:pt idx="14">
                  <c:v>424</c:v>
                </c:pt>
                <c:pt idx="15">
                  <c:v>455</c:v>
                </c:pt>
                <c:pt idx="16">
                  <c:v>485</c:v>
                </c:pt>
                <c:pt idx="17">
                  <c:v>516</c:v>
                </c:pt>
                <c:pt idx="18">
                  <c:v>546</c:v>
                </c:pt>
                <c:pt idx="19">
                  <c:v>577</c:v>
                </c:pt>
                <c:pt idx="20">
                  <c:v>608</c:v>
                </c:pt>
                <c:pt idx="21">
                  <c:v>638</c:v>
                </c:pt>
                <c:pt idx="22">
                  <c:v>669</c:v>
                </c:pt>
                <c:pt idx="23">
                  <c:v>699</c:v>
                </c:pt>
                <c:pt idx="24">
                  <c:v>730</c:v>
                </c:pt>
                <c:pt idx="25">
                  <c:v>761</c:v>
                </c:pt>
                <c:pt idx="26">
                  <c:v>789</c:v>
                </c:pt>
                <c:pt idx="27">
                  <c:v>820</c:v>
                </c:pt>
                <c:pt idx="28">
                  <c:v>850</c:v>
                </c:pt>
                <c:pt idx="29">
                  <c:v>881</c:v>
                </c:pt>
                <c:pt idx="30">
                  <c:v>911</c:v>
                </c:pt>
                <c:pt idx="31">
                  <c:v>942</c:v>
                </c:pt>
                <c:pt idx="32">
                  <c:v>973</c:v>
                </c:pt>
                <c:pt idx="33">
                  <c:v>1003</c:v>
                </c:pt>
                <c:pt idx="34">
                  <c:v>1034</c:v>
                </c:pt>
                <c:pt idx="35">
                  <c:v>1064</c:v>
                </c:pt>
                <c:pt idx="36">
                  <c:v>1095</c:v>
                </c:pt>
                <c:pt idx="37">
                  <c:v>1126</c:v>
                </c:pt>
                <c:pt idx="38">
                  <c:v>1155</c:v>
                </c:pt>
                <c:pt idx="39">
                  <c:v>1186</c:v>
                </c:pt>
                <c:pt idx="40">
                  <c:v>1216</c:v>
                </c:pt>
                <c:pt idx="41">
                  <c:v>1247</c:v>
                </c:pt>
                <c:pt idx="42">
                  <c:v>1277</c:v>
                </c:pt>
                <c:pt idx="43">
                  <c:v>1308</c:v>
                </c:pt>
                <c:pt idx="44">
                  <c:v>1339</c:v>
                </c:pt>
                <c:pt idx="45">
                  <c:v>1369</c:v>
                </c:pt>
                <c:pt idx="46">
                  <c:v>1400</c:v>
                </c:pt>
                <c:pt idx="47">
                  <c:v>1430</c:v>
                </c:pt>
                <c:pt idx="48">
                  <c:v>1461</c:v>
                </c:pt>
                <c:pt idx="49">
                  <c:v>1492</c:v>
                </c:pt>
                <c:pt idx="50">
                  <c:v>1520</c:v>
                </c:pt>
                <c:pt idx="51">
                  <c:v>1551</c:v>
                </c:pt>
                <c:pt idx="52">
                  <c:v>1581</c:v>
                </c:pt>
                <c:pt idx="53">
                  <c:v>1612</c:v>
                </c:pt>
                <c:pt idx="54">
                  <c:v>1642</c:v>
                </c:pt>
                <c:pt idx="55">
                  <c:v>1673</c:v>
                </c:pt>
                <c:pt idx="56">
                  <c:v>1704</c:v>
                </c:pt>
                <c:pt idx="57">
                  <c:v>1734</c:v>
                </c:pt>
                <c:pt idx="58">
                  <c:v>1765</c:v>
                </c:pt>
                <c:pt idx="59">
                  <c:v>1795</c:v>
                </c:pt>
                <c:pt idx="60">
                  <c:v>1826</c:v>
                </c:pt>
              </c:numCache>
            </c:numRef>
          </c:xVal>
          <c:yVal>
            <c:numRef>
              <c:f>Sheet1!$AJ$4:$AJ$64</c:f>
              <c:numCache>
                <c:formatCode>#,##0.00</c:formatCode>
                <c:ptCount val="61"/>
                <c:pt idx="0">
                  <c:v>4.8896638427146453E-3</c:v>
                </c:pt>
                <c:pt idx="1">
                  <c:v>5.75501384123099E-3</c:v>
                </c:pt>
                <c:pt idx="2">
                  <c:v>6.536620291503828E-3</c:v>
                </c:pt>
                <c:pt idx="3">
                  <c:v>7.4019702900201727E-3</c:v>
                </c:pt>
                <c:pt idx="4">
                  <c:v>8.2394057724553479E-3</c:v>
                </c:pt>
                <c:pt idx="5">
                  <c:v>9.1047557709716953E-3</c:v>
                </c:pt>
                <c:pt idx="6">
                  <c:v>9.9421912534068731E-3</c:v>
                </c:pt>
                <c:pt idx="7">
                  <c:v>1.0807541251923221E-2</c:v>
                </c:pt>
                <c:pt idx="8">
                  <c:v>1.1672891250439575E-2</c:v>
                </c:pt>
                <c:pt idx="9">
                  <c:v>1.2510326732874746E-2</c:v>
                </c:pt>
                <c:pt idx="10">
                  <c:v>1.33756767313911E-2</c:v>
                </c:pt>
                <c:pt idx="11">
                  <c:v>1.4213112213826271E-2</c:v>
                </c:pt>
                <c:pt idx="12">
                  <c:v>1.5078462212342618E-2</c:v>
                </c:pt>
                <c:pt idx="13">
                  <c:v>1.5943812210858967E-2</c:v>
                </c:pt>
                <c:pt idx="14">
                  <c:v>1.6725418661131794E-2</c:v>
                </c:pt>
                <c:pt idx="15">
                  <c:v>1.7590768659648134E-2</c:v>
                </c:pt>
                <c:pt idx="16">
                  <c:v>1.8428204142083328E-2</c:v>
                </c:pt>
                <c:pt idx="17">
                  <c:v>1.9293554140599675E-2</c:v>
                </c:pt>
                <c:pt idx="18">
                  <c:v>2.0130989623034844E-2</c:v>
                </c:pt>
                <c:pt idx="19">
                  <c:v>2.0996339621551195E-2</c:v>
                </c:pt>
                <c:pt idx="20">
                  <c:v>2.1861689620067536E-2</c:v>
                </c:pt>
                <c:pt idx="21">
                  <c:v>2.2699125102502729E-2</c:v>
                </c:pt>
                <c:pt idx="22">
                  <c:v>2.3564475101019063E-2</c:v>
                </c:pt>
                <c:pt idx="23">
                  <c:v>2.4401910583454242E-2</c:v>
                </c:pt>
                <c:pt idx="24">
                  <c:v>2.5267260581970596E-2</c:v>
                </c:pt>
                <c:pt idx="25">
                  <c:v>2.6132610580486937E-2</c:v>
                </c:pt>
                <c:pt idx="26">
                  <c:v>2.6914217030759784E-2</c:v>
                </c:pt>
                <c:pt idx="27">
                  <c:v>2.7779567029276125E-2</c:v>
                </c:pt>
                <c:pt idx="28">
                  <c:v>2.8617002511711301E-2</c:v>
                </c:pt>
                <c:pt idx="29">
                  <c:v>2.9482352510227648E-2</c:v>
                </c:pt>
                <c:pt idx="30">
                  <c:v>3.0319787992662817E-2</c:v>
                </c:pt>
                <c:pt idx="31">
                  <c:v>3.1185137991179161E-2</c:v>
                </c:pt>
                <c:pt idx="32">
                  <c:v>3.2050487989695529E-2</c:v>
                </c:pt>
                <c:pt idx="33">
                  <c:v>3.2887923472130695E-2</c:v>
                </c:pt>
                <c:pt idx="34">
                  <c:v>3.3753273470647029E-2</c:v>
                </c:pt>
                <c:pt idx="35">
                  <c:v>3.4590708953082201E-2</c:v>
                </c:pt>
                <c:pt idx="36">
                  <c:v>3.5456058951598576E-2</c:v>
                </c:pt>
                <c:pt idx="37">
                  <c:v>3.6321408950114917E-2</c:v>
                </c:pt>
                <c:pt idx="38">
                  <c:v>3.7130929916468915E-2</c:v>
                </c:pt>
                <c:pt idx="39">
                  <c:v>3.7996279914985276E-2</c:v>
                </c:pt>
                <c:pt idx="40">
                  <c:v>3.8833715397420455E-2</c:v>
                </c:pt>
                <c:pt idx="41">
                  <c:v>3.9699065395936775E-2</c:v>
                </c:pt>
                <c:pt idx="42">
                  <c:v>4.0536500878371969E-2</c:v>
                </c:pt>
                <c:pt idx="43">
                  <c:v>4.1401850876888309E-2</c:v>
                </c:pt>
                <c:pt idx="44">
                  <c:v>4.2267200875404656E-2</c:v>
                </c:pt>
                <c:pt idx="45">
                  <c:v>4.3104636357839836E-2</c:v>
                </c:pt>
                <c:pt idx="46">
                  <c:v>4.396998635635619E-2</c:v>
                </c:pt>
                <c:pt idx="47">
                  <c:v>4.4807421838791377E-2</c:v>
                </c:pt>
                <c:pt idx="48">
                  <c:v>4.567277183730771E-2</c:v>
                </c:pt>
                <c:pt idx="49">
                  <c:v>4.6538121835824064E-2</c:v>
                </c:pt>
                <c:pt idx="50">
                  <c:v>4.7319728286096915E-2</c:v>
                </c:pt>
                <c:pt idx="51">
                  <c:v>4.8185078284613214E-2</c:v>
                </c:pt>
                <c:pt idx="52">
                  <c:v>4.9022513767048415E-2</c:v>
                </c:pt>
                <c:pt idx="53">
                  <c:v>4.9887863765564748E-2</c:v>
                </c:pt>
                <c:pt idx="54">
                  <c:v>5.0725299247999928E-2</c:v>
                </c:pt>
                <c:pt idx="55">
                  <c:v>5.1590649246516303E-2</c:v>
                </c:pt>
                <c:pt idx="56">
                  <c:v>5.2455999245032643E-2</c:v>
                </c:pt>
                <c:pt idx="57">
                  <c:v>5.3293434727467802E-2</c:v>
                </c:pt>
                <c:pt idx="58">
                  <c:v>5.4158784725984135E-2</c:v>
                </c:pt>
                <c:pt idx="59">
                  <c:v>5.4996220208419343E-2</c:v>
                </c:pt>
                <c:pt idx="60">
                  <c:v>5.5861570206935704E-2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4-4BB6-9426-9AFE8C7B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7423"/>
        <c:axId val="83061647"/>
      </c:scatterChart>
      <c:valAx>
        <c:axId val="7076742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Time,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1647"/>
        <c:crosses val="autoZero"/>
        <c:crossBetween val="midCat"/>
      </c:valAx>
      <c:valAx>
        <c:axId val="830616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q</a:t>
                </a:r>
                <a:r>
                  <a:rPr lang="en-US" sz="1200" baseline="30000"/>
                  <a:t>-b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Linearized Cumulative Volume vs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9.8836697589978317E-2"/>
          <c:y val="0.13562095363079613"/>
          <c:w val="0.8800467133800467"/>
          <c:h val="0.8006447944007000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1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498503753096929"/>
                  <c:y val="-0.6431316710411199"/>
                </c:manualLayout>
              </c:layout>
              <c:numFmt formatCode="General" sourceLinked="0"/>
              <c:spPr>
                <a:solidFill>
                  <a:schemeClr val="bg1">
                    <a:alpha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Sheet1!$AK$4:$AK$64</c:f>
              <c:numCache>
                <c:formatCode>#,##0.00</c:formatCode>
                <c:ptCount val="61"/>
                <c:pt idx="0">
                  <c:v>9.7793276854292888</c:v>
                </c:pt>
                <c:pt idx="1">
                  <c:v>9.1196910542787837</c:v>
                </c:pt>
                <c:pt idx="2">
                  <c:v>8.6352949335474403</c:v>
                </c:pt>
                <c:pt idx="3">
                  <c:v>8.1872274422887532</c:v>
                </c:pt>
                <c:pt idx="4">
                  <c:v>7.8196528846771658</c:v>
                </c:pt>
                <c:pt idx="5">
                  <c:v>7.4920264117692632</c:v>
                </c:pt>
                <c:pt idx="6">
                  <c:v>7.2147610412594929</c:v>
                </c:pt>
                <c:pt idx="7">
                  <c:v>6.9612698713357464</c:v>
                </c:pt>
                <c:pt idx="8">
                  <c:v>6.7352248267397696</c:v>
                </c:pt>
                <c:pt idx="9">
                  <c:v>6.5381712541425152</c:v>
                </c:pt>
                <c:pt idx="10">
                  <c:v>6.3534194717897199</c:v>
                </c:pt>
                <c:pt idx="11">
                  <c:v>6.1901993463511982</c:v>
                </c:pt>
                <c:pt idx="12">
                  <c:v>6.0353730684063667</c:v>
                </c:pt>
                <c:pt idx="13">
                  <c:v>5.8927449072882272</c:v>
                </c:pt>
                <c:pt idx="14">
                  <c:v>5.77311034050632</c:v>
                </c:pt>
                <c:pt idx="15">
                  <c:v>5.6496402286858656</c:v>
                </c:pt>
                <c:pt idx="16">
                  <c:v>5.538146275705996</c:v>
                </c:pt>
                <c:pt idx="17">
                  <c:v>5.4302937911188982</c:v>
                </c:pt>
                <c:pt idx="18">
                  <c:v>5.3323045577583157</c:v>
                </c:pt>
                <c:pt idx="19">
                  <c:v>5.2369848676951358</c:v>
                </c:pt>
                <c:pt idx="20">
                  <c:v>5.1471179225339476</c:v>
                </c:pt>
                <c:pt idx="21">
                  <c:v>5.0648608786816274</c:v>
                </c:pt>
                <c:pt idx="22">
                  <c:v>4.9842958516990494</c:v>
                </c:pt>
                <c:pt idx="23">
                  <c:v>4.9102552907224819</c:v>
                </c:pt>
                <c:pt idx="24">
                  <c:v>4.8374660683010964</c:v>
                </c:pt>
                <c:pt idx="25">
                  <c:v>4.7681535203315706</c:v>
                </c:pt>
                <c:pt idx="26">
                  <c:v>4.7083090753573167</c:v>
                </c:pt>
                <c:pt idx="27">
                  <c:v>4.6448831973491354</c:v>
                </c:pt>
                <c:pt idx="28">
                  <c:v>4.5861345958950164</c:v>
                </c:pt>
                <c:pt idx="29">
                  <c:v>4.5279533344102898</c:v>
                </c:pt>
                <c:pt idx="30">
                  <c:v>4.4739259176932116</c:v>
                </c:pt>
                <c:pt idx="31">
                  <c:v>4.4202923987641976</c:v>
                </c:pt>
                <c:pt idx="32">
                  <c:v>4.3687438341575699</c:v>
                </c:pt>
                <c:pt idx="33">
                  <c:v>4.3207168419818256</c:v>
                </c:pt>
                <c:pt idx="34">
                  <c:v>4.2728904461400301</c:v>
                </c:pt>
                <c:pt idx="35">
                  <c:v>4.228245838155968</c:v>
                </c:pt>
                <c:pt idx="36">
                  <c:v>4.1837067048453846</c:v>
                </c:pt>
                <c:pt idx="37">
                  <c:v>4.1406939724914302</c:v>
                </c:pt>
                <c:pt idx="38">
                  <c:v>4.1017610836960268</c:v>
                </c:pt>
                <c:pt idx="39">
                  <c:v>4.061462006878295</c:v>
                </c:pt>
                <c:pt idx="40">
                  <c:v>4.0236920831237732</c:v>
                </c:pt>
                <c:pt idx="41">
                  <c:v>3.9858663842059485</c:v>
                </c:pt>
                <c:pt idx="42">
                  <c:v>3.950365849640463</c:v>
                </c:pt>
                <c:pt idx="43">
                  <c:v>3.914766096832484</c:v>
                </c:pt>
                <c:pt idx="44">
                  <c:v>3.8802137299832435</c:v>
                </c:pt>
                <c:pt idx="45">
                  <c:v>3.8477248322272892</c:v>
                </c:pt>
                <c:pt idx="46">
                  <c:v>3.8150868549663288</c:v>
                </c:pt>
                <c:pt idx="47">
                  <c:v>3.7843637698288766</c:v>
                </c:pt>
                <c:pt idx="48">
                  <c:v>3.7534666028208332</c:v>
                </c:pt>
                <c:pt idx="49">
                  <c:v>3.7233945893799829</c:v>
                </c:pt>
                <c:pt idx="50">
                  <c:v>3.6969113713708825</c:v>
                </c:pt>
                <c:pt idx="51">
                  <c:v>3.6683101028293992</c:v>
                </c:pt>
                <c:pt idx="52">
                  <c:v>3.6413216086099163</c:v>
                </c:pt>
                <c:pt idx="53">
                  <c:v>3.6141167885852865</c:v>
                </c:pt>
                <c:pt idx="54">
                  <c:v>3.5884238561145461</c:v>
                </c:pt>
                <c:pt idx="55">
                  <c:v>3.5625034088274563</c:v>
                </c:pt>
                <c:pt idx="56">
                  <c:v>3.5371967332475012</c:v>
                </c:pt>
                <c:pt idx="57">
                  <c:v>3.513267891890993</c:v>
                </c:pt>
                <c:pt idx="58">
                  <c:v>3.4890992546027517</c:v>
                </c:pt>
                <c:pt idx="59">
                  <c:v>3.4662298131875442</c:v>
                </c:pt>
                <c:pt idx="60">
                  <c:v>3.4431148687746789</c:v>
                </c:pt>
              </c:numCache>
            </c:numRef>
          </c:xVal>
          <c:yVal>
            <c:numRef>
              <c:f>Sheet1!$AD$4:$AD$64</c:f>
              <c:numCache>
                <c:formatCode>#,##0.00</c:formatCode>
                <c:ptCount val="61"/>
                <c:pt idx="0">
                  <c:v>0</c:v>
                </c:pt>
                <c:pt idx="1">
                  <c:v>55.138055586401215</c:v>
                </c:pt>
                <c:pt idx="2">
                  <c:v>95.628014708498213</c:v>
                </c:pt>
                <c:pt idx="3">
                  <c:v>133.08131713712558</c:v>
                </c:pt>
                <c:pt idx="4">
                  <c:v>163.80633365778979</c:v>
                </c:pt>
                <c:pt idx="5">
                  <c:v>191.19214854691279</c:v>
                </c:pt>
                <c:pt idx="6">
                  <c:v>214.36835297432219</c:v>
                </c:pt>
                <c:pt idx="7">
                  <c:v>235.55730694969412</c:v>
                </c:pt>
                <c:pt idx="8">
                  <c:v>254.45207968574567</c:v>
                </c:pt>
                <c:pt idx="9">
                  <c:v>270.9234979276585</c:v>
                </c:pt>
                <c:pt idx="10">
                  <c:v>286.36662762057392</c:v>
                </c:pt>
                <c:pt idx="11">
                  <c:v>300.00995778789922</c:v>
                </c:pt>
                <c:pt idx="12">
                  <c:v>312.95165859167088</c:v>
                </c:pt>
                <c:pt idx="13">
                  <c:v>324.87373675491932</c:v>
                </c:pt>
                <c:pt idx="14">
                  <c:v>334.87381419417659</c:v>
                </c:pt>
                <c:pt idx="15">
                  <c:v>345.1944992006193</c:v>
                </c:pt>
                <c:pt idx="16">
                  <c:v>354.51411470806806</c:v>
                </c:pt>
                <c:pt idx="17">
                  <c:v>363.52934522964006</c:v>
                </c:pt>
                <c:pt idx="18">
                  <c:v>371.72012109131583</c:v>
                </c:pt>
                <c:pt idx="19">
                  <c:v>379.68775375600762</c:v>
                </c:pt>
                <c:pt idx="20">
                  <c:v>387.19959949604072</c:v>
                </c:pt>
                <c:pt idx="21">
                  <c:v>394.07534478082215</c:v>
                </c:pt>
                <c:pt idx="22">
                  <c:v>400.80965686463941</c:v>
                </c:pt>
                <c:pt idx="23">
                  <c:v>406.99859843335418</c:v>
                </c:pt>
                <c:pt idx="24">
                  <c:v>413.08294245312334</c:v>
                </c:pt>
                <c:pt idx="25">
                  <c:v>418.87667637010281</c:v>
                </c:pt>
                <c:pt idx="26">
                  <c:v>423.87898548652123</c:v>
                </c:pt>
                <c:pt idx="27">
                  <c:v>429.1806613214909</c:v>
                </c:pt>
                <c:pt idx="28">
                  <c:v>434.09137049018989</c:v>
                </c:pt>
                <c:pt idx="29">
                  <c:v>438.95465654547849</c:v>
                </c:pt>
                <c:pt idx="30">
                  <c:v>443.47072882748648</c:v>
                </c:pt>
                <c:pt idx="31">
                  <c:v>447.95387577286527</c:v>
                </c:pt>
                <c:pt idx="32">
                  <c:v>452.26274445367517</c:v>
                </c:pt>
                <c:pt idx="33">
                  <c:v>456.27725007567977</c:v>
                </c:pt>
                <c:pt idx="34">
                  <c:v>460.27498814523284</c:v>
                </c:pt>
                <c:pt idx="35">
                  <c:v>464.00676524858278</c:v>
                </c:pt>
                <c:pt idx="36">
                  <c:v>467.72972587914347</c:v>
                </c:pt>
                <c:pt idx="37">
                  <c:v>471.32509689927446</c:v>
                </c:pt>
                <c:pt idx="38">
                  <c:v>474.57943979832783</c:v>
                </c:pt>
                <c:pt idx="39">
                  <c:v>477.94798034432688</c:v>
                </c:pt>
                <c:pt idx="40">
                  <c:v>481.10511270648612</c:v>
                </c:pt>
                <c:pt idx="41">
                  <c:v>484.26690723249334</c:v>
                </c:pt>
                <c:pt idx="42">
                  <c:v>487.2343446909083</c:v>
                </c:pt>
                <c:pt idx="43">
                  <c:v>490.21007565625052</c:v>
                </c:pt>
                <c:pt idx="44">
                  <c:v>493.09825717014286</c:v>
                </c:pt>
                <c:pt idx="45">
                  <c:v>495.81395633815947</c:v>
                </c:pt>
                <c:pt idx="46">
                  <c:v>498.54211684268421</c:v>
                </c:pt>
                <c:pt idx="47">
                  <c:v>501.11021433166064</c:v>
                </c:pt>
                <c:pt idx="48">
                  <c:v>503.69286306810284</c:v>
                </c:pt>
                <c:pt idx="49">
                  <c:v>506.20653843177178</c:v>
                </c:pt>
                <c:pt idx="50">
                  <c:v>508.42023166488667</c:v>
                </c:pt>
                <c:pt idx="51">
                  <c:v>510.81096962607501</c:v>
                </c:pt>
                <c:pt idx="52">
                  <c:v>513.06689815428854</c:v>
                </c:pt>
                <c:pt idx="53">
                  <c:v>515.34090903831088</c:v>
                </c:pt>
                <c:pt idx="54">
                  <c:v>517.48854346588735</c:v>
                </c:pt>
                <c:pt idx="55">
                  <c:v>519.6551955222584</c:v>
                </c:pt>
                <c:pt idx="56">
                  <c:v>521.77054330456815</c:v>
                </c:pt>
                <c:pt idx="57">
                  <c:v>523.77071995111396</c:v>
                </c:pt>
                <c:pt idx="58">
                  <c:v>525.79094078682215</c:v>
                </c:pt>
                <c:pt idx="59">
                  <c:v>527.70256375078986</c:v>
                </c:pt>
                <c:pt idx="60">
                  <c:v>529.63470794916486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5-495B-BD49-826F4DC72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7423"/>
        <c:axId val="83061647"/>
      </c:scatterChart>
      <c:valAx>
        <c:axId val="7076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q</a:t>
                </a:r>
                <a:r>
                  <a:rPr lang="en-US" sz="1200" baseline="30000"/>
                  <a:t>1-b</a:t>
                </a:r>
                <a:r>
                  <a:rPr lang="en-US" sz="1200" baseline="0"/>
                  <a:t> or ln(q)</a:t>
                </a:r>
                <a:endParaRPr lang="en-US" sz="1200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1647"/>
        <c:crosses val="autoZero"/>
        <c:crossBetween val="midCat"/>
      </c:valAx>
      <c:valAx>
        <c:axId val="830616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Cumluative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Linearized Rate vs Cumulative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9.8836697589978317E-2"/>
          <c:y val="0.13562095363079613"/>
          <c:w val="0.8800467133800467"/>
          <c:h val="0.8006447944007000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1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66160648837814E-2"/>
                  <c:y val="-0.47308245844269464"/>
                </c:manualLayout>
              </c:layout>
              <c:numFmt formatCode="General" sourceLinked="0"/>
              <c:spPr>
                <a:solidFill>
                  <a:schemeClr val="bg1">
                    <a:alpha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Sheet1!$AD$4:$AD$64</c:f>
              <c:numCache>
                <c:formatCode>#,##0.00</c:formatCode>
                <c:ptCount val="61"/>
                <c:pt idx="0">
                  <c:v>0</c:v>
                </c:pt>
                <c:pt idx="1">
                  <c:v>55.138055586401215</c:v>
                </c:pt>
                <c:pt idx="2">
                  <c:v>95.628014708498213</c:v>
                </c:pt>
                <c:pt idx="3">
                  <c:v>133.08131713712558</c:v>
                </c:pt>
                <c:pt idx="4">
                  <c:v>163.80633365778979</c:v>
                </c:pt>
                <c:pt idx="5">
                  <c:v>191.19214854691279</c:v>
                </c:pt>
                <c:pt idx="6">
                  <c:v>214.36835297432219</c:v>
                </c:pt>
                <c:pt idx="7">
                  <c:v>235.55730694969412</c:v>
                </c:pt>
                <c:pt idx="8">
                  <c:v>254.45207968574567</c:v>
                </c:pt>
                <c:pt idx="9">
                  <c:v>270.9234979276585</c:v>
                </c:pt>
                <c:pt idx="10">
                  <c:v>286.36662762057392</c:v>
                </c:pt>
                <c:pt idx="11">
                  <c:v>300.00995778789922</c:v>
                </c:pt>
                <c:pt idx="12">
                  <c:v>312.95165859167088</c:v>
                </c:pt>
                <c:pt idx="13">
                  <c:v>324.87373675491932</c:v>
                </c:pt>
                <c:pt idx="14">
                  <c:v>334.87381419417659</c:v>
                </c:pt>
                <c:pt idx="15">
                  <c:v>345.1944992006193</c:v>
                </c:pt>
                <c:pt idx="16">
                  <c:v>354.51411470806806</c:v>
                </c:pt>
                <c:pt idx="17">
                  <c:v>363.52934522964006</c:v>
                </c:pt>
                <c:pt idx="18">
                  <c:v>371.72012109131583</c:v>
                </c:pt>
                <c:pt idx="19">
                  <c:v>379.68775375600762</c:v>
                </c:pt>
                <c:pt idx="20">
                  <c:v>387.19959949604072</c:v>
                </c:pt>
                <c:pt idx="21">
                  <c:v>394.07534478082215</c:v>
                </c:pt>
                <c:pt idx="22">
                  <c:v>400.80965686463941</c:v>
                </c:pt>
                <c:pt idx="23">
                  <c:v>406.99859843335418</c:v>
                </c:pt>
                <c:pt idx="24">
                  <c:v>413.08294245312334</c:v>
                </c:pt>
                <c:pt idx="25">
                  <c:v>418.87667637010281</c:v>
                </c:pt>
                <c:pt idx="26">
                  <c:v>423.87898548652123</c:v>
                </c:pt>
                <c:pt idx="27">
                  <c:v>429.1806613214909</c:v>
                </c:pt>
                <c:pt idx="28">
                  <c:v>434.09137049018989</c:v>
                </c:pt>
                <c:pt idx="29">
                  <c:v>438.95465654547849</c:v>
                </c:pt>
                <c:pt idx="30">
                  <c:v>443.47072882748648</c:v>
                </c:pt>
                <c:pt idx="31">
                  <c:v>447.95387577286527</c:v>
                </c:pt>
                <c:pt idx="32">
                  <c:v>452.26274445367517</c:v>
                </c:pt>
                <c:pt idx="33">
                  <c:v>456.27725007567977</c:v>
                </c:pt>
                <c:pt idx="34">
                  <c:v>460.27498814523284</c:v>
                </c:pt>
                <c:pt idx="35">
                  <c:v>464.00676524858278</c:v>
                </c:pt>
                <c:pt idx="36">
                  <c:v>467.72972587914347</c:v>
                </c:pt>
                <c:pt idx="37">
                  <c:v>471.32509689927446</c:v>
                </c:pt>
                <c:pt idx="38">
                  <c:v>474.57943979832783</c:v>
                </c:pt>
                <c:pt idx="39">
                  <c:v>477.94798034432688</c:v>
                </c:pt>
                <c:pt idx="40">
                  <c:v>481.10511270648612</c:v>
                </c:pt>
                <c:pt idx="41">
                  <c:v>484.26690723249334</c:v>
                </c:pt>
                <c:pt idx="42">
                  <c:v>487.2343446909083</c:v>
                </c:pt>
                <c:pt idx="43">
                  <c:v>490.21007565625052</c:v>
                </c:pt>
                <c:pt idx="44">
                  <c:v>493.09825717014286</c:v>
                </c:pt>
                <c:pt idx="45">
                  <c:v>495.81395633815947</c:v>
                </c:pt>
                <c:pt idx="46">
                  <c:v>498.54211684268421</c:v>
                </c:pt>
                <c:pt idx="47">
                  <c:v>501.11021433166064</c:v>
                </c:pt>
                <c:pt idx="48">
                  <c:v>503.69286306810284</c:v>
                </c:pt>
                <c:pt idx="49">
                  <c:v>506.20653843177178</c:v>
                </c:pt>
                <c:pt idx="50">
                  <c:v>508.42023166488667</c:v>
                </c:pt>
                <c:pt idx="51">
                  <c:v>510.81096962607501</c:v>
                </c:pt>
                <c:pt idx="52">
                  <c:v>513.06689815428854</c:v>
                </c:pt>
                <c:pt idx="53">
                  <c:v>515.34090903831088</c:v>
                </c:pt>
                <c:pt idx="54">
                  <c:v>517.48854346588735</c:v>
                </c:pt>
                <c:pt idx="55">
                  <c:v>519.6551955222584</c:v>
                </c:pt>
                <c:pt idx="56">
                  <c:v>521.77054330456815</c:v>
                </c:pt>
                <c:pt idx="57">
                  <c:v>523.77071995111396</c:v>
                </c:pt>
                <c:pt idx="58">
                  <c:v>525.79094078682215</c:v>
                </c:pt>
                <c:pt idx="59">
                  <c:v>527.70256375078986</c:v>
                </c:pt>
                <c:pt idx="60">
                  <c:v>529.63470794916486</c:v>
                </c:pt>
              </c:numCache>
            </c:numRef>
          </c:xVal>
          <c:yVal>
            <c:numRef>
              <c:f>Sheet1!$AK$4:$AK$64</c:f>
              <c:numCache>
                <c:formatCode>#,##0.00</c:formatCode>
                <c:ptCount val="61"/>
                <c:pt idx="0">
                  <c:v>9.7793276854292888</c:v>
                </c:pt>
                <c:pt idx="1">
                  <c:v>9.1196910542787837</c:v>
                </c:pt>
                <c:pt idx="2">
                  <c:v>8.6352949335474403</c:v>
                </c:pt>
                <c:pt idx="3">
                  <c:v>8.1872274422887532</c:v>
                </c:pt>
                <c:pt idx="4">
                  <c:v>7.8196528846771658</c:v>
                </c:pt>
                <c:pt idx="5">
                  <c:v>7.4920264117692632</c:v>
                </c:pt>
                <c:pt idx="6">
                  <c:v>7.2147610412594929</c:v>
                </c:pt>
                <c:pt idx="7">
                  <c:v>6.9612698713357464</c:v>
                </c:pt>
                <c:pt idx="8">
                  <c:v>6.7352248267397696</c:v>
                </c:pt>
                <c:pt idx="9">
                  <c:v>6.5381712541425152</c:v>
                </c:pt>
                <c:pt idx="10">
                  <c:v>6.3534194717897199</c:v>
                </c:pt>
                <c:pt idx="11">
                  <c:v>6.1901993463511982</c:v>
                </c:pt>
                <c:pt idx="12">
                  <c:v>6.0353730684063667</c:v>
                </c:pt>
                <c:pt idx="13">
                  <c:v>5.8927449072882272</c:v>
                </c:pt>
                <c:pt idx="14">
                  <c:v>5.77311034050632</c:v>
                </c:pt>
                <c:pt idx="15">
                  <c:v>5.6496402286858656</c:v>
                </c:pt>
                <c:pt idx="16">
                  <c:v>5.538146275705996</c:v>
                </c:pt>
                <c:pt idx="17">
                  <c:v>5.4302937911188982</c:v>
                </c:pt>
                <c:pt idx="18">
                  <c:v>5.3323045577583157</c:v>
                </c:pt>
                <c:pt idx="19">
                  <c:v>5.2369848676951358</c:v>
                </c:pt>
                <c:pt idx="20">
                  <c:v>5.1471179225339476</c:v>
                </c:pt>
                <c:pt idx="21">
                  <c:v>5.0648608786816274</c:v>
                </c:pt>
                <c:pt idx="22">
                  <c:v>4.9842958516990494</c:v>
                </c:pt>
                <c:pt idx="23">
                  <c:v>4.9102552907224819</c:v>
                </c:pt>
                <c:pt idx="24">
                  <c:v>4.8374660683010964</c:v>
                </c:pt>
                <c:pt idx="25">
                  <c:v>4.7681535203315706</c:v>
                </c:pt>
                <c:pt idx="26">
                  <c:v>4.7083090753573167</c:v>
                </c:pt>
                <c:pt idx="27">
                  <c:v>4.6448831973491354</c:v>
                </c:pt>
                <c:pt idx="28">
                  <c:v>4.5861345958950164</c:v>
                </c:pt>
                <c:pt idx="29">
                  <c:v>4.5279533344102898</c:v>
                </c:pt>
                <c:pt idx="30">
                  <c:v>4.4739259176932116</c:v>
                </c:pt>
                <c:pt idx="31">
                  <c:v>4.4202923987641976</c:v>
                </c:pt>
                <c:pt idx="32">
                  <c:v>4.3687438341575699</c:v>
                </c:pt>
                <c:pt idx="33">
                  <c:v>4.3207168419818256</c:v>
                </c:pt>
                <c:pt idx="34">
                  <c:v>4.2728904461400301</c:v>
                </c:pt>
                <c:pt idx="35">
                  <c:v>4.228245838155968</c:v>
                </c:pt>
                <c:pt idx="36">
                  <c:v>4.1837067048453846</c:v>
                </c:pt>
                <c:pt idx="37">
                  <c:v>4.1406939724914302</c:v>
                </c:pt>
                <c:pt idx="38">
                  <c:v>4.1017610836960268</c:v>
                </c:pt>
                <c:pt idx="39">
                  <c:v>4.061462006878295</c:v>
                </c:pt>
                <c:pt idx="40">
                  <c:v>4.0236920831237732</c:v>
                </c:pt>
                <c:pt idx="41">
                  <c:v>3.9858663842059485</c:v>
                </c:pt>
                <c:pt idx="42">
                  <c:v>3.950365849640463</c:v>
                </c:pt>
                <c:pt idx="43">
                  <c:v>3.914766096832484</c:v>
                </c:pt>
                <c:pt idx="44">
                  <c:v>3.8802137299832435</c:v>
                </c:pt>
                <c:pt idx="45">
                  <c:v>3.8477248322272892</c:v>
                </c:pt>
                <c:pt idx="46">
                  <c:v>3.8150868549663288</c:v>
                </c:pt>
                <c:pt idx="47">
                  <c:v>3.7843637698288766</c:v>
                </c:pt>
                <c:pt idx="48">
                  <c:v>3.7534666028208332</c:v>
                </c:pt>
                <c:pt idx="49">
                  <c:v>3.7233945893799829</c:v>
                </c:pt>
                <c:pt idx="50">
                  <c:v>3.6969113713708825</c:v>
                </c:pt>
                <c:pt idx="51">
                  <c:v>3.6683101028293992</c:v>
                </c:pt>
                <c:pt idx="52">
                  <c:v>3.6413216086099163</c:v>
                </c:pt>
                <c:pt idx="53">
                  <c:v>3.6141167885852865</c:v>
                </c:pt>
                <c:pt idx="54">
                  <c:v>3.5884238561145461</c:v>
                </c:pt>
                <c:pt idx="55">
                  <c:v>3.5625034088274563</c:v>
                </c:pt>
                <c:pt idx="56">
                  <c:v>3.5371967332475012</c:v>
                </c:pt>
                <c:pt idx="57">
                  <c:v>3.513267891890993</c:v>
                </c:pt>
                <c:pt idx="58">
                  <c:v>3.4890992546027517</c:v>
                </c:pt>
                <c:pt idx="59">
                  <c:v>3.4662298131875442</c:v>
                </c:pt>
                <c:pt idx="60">
                  <c:v>3.4431148687746789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8-47F2-A9EC-89478B58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7423"/>
        <c:axId val="83061647"/>
      </c:scatterChart>
      <c:valAx>
        <c:axId val="7076742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Cumulative Volume</a:t>
                </a:r>
                <a:endParaRPr lang="en-US" sz="1200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1647"/>
        <c:crosses val="autoZero"/>
        <c:crossBetween val="midCat"/>
      </c:valAx>
      <c:valAx>
        <c:axId val="830616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q</a:t>
                </a:r>
                <a:r>
                  <a:rPr lang="en-US" sz="1200" baseline="30000"/>
                  <a:t>1-b</a:t>
                </a:r>
                <a:r>
                  <a:rPr lang="en-US" sz="1200" baseline="0"/>
                  <a:t> or ln(q)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0</xdr:colOff>
      <xdr:row>24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C9F167-A4E6-404F-B012-08C49ABC0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</xdr:colOff>
      <xdr:row>2</xdr:row>
      <xdr:rowOff>0</xdr:rowOff>
    </xdr:from>
    <xdr:to>
      <xdr:col>15</xdr:col>
      <xdr:colOff>0</xdr:colOff>
      <xdr:row>24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4A6F9C-CBE3-42B2-BFBA-99ADC9284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19</xdr:col>
      <xdr:colOff>606552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8C64C-8795-4DEF-B009-0D7107C94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8349-0828-41AB-B39F-EAAFEEAACA0A}">
  <sheetPr codeName="Sheet1"/>
  <dimension ref="A1:AK64"/>
  <sheetViews>
    <sheetView tabSelected="1" workbookViewId="0">
      <selection activeCell="G33" sqref="G33"/>
    </sheetView>
  </sheetViews>
  <sheetFormatPr defaultRowHeight="15" x14ac:dyDescent="0.25"/>
  <cols>
    <col min="2" max="2" width="10" bestFit="1" customWidth="1"/>
    <col min="3" max="3" width="18.5703125" bestFit="1" customWidth="1"/>
    <col min="4" max="4" width="25" customWidth="1"/>
    <col min="22" max="22" width="2.85546875" customWidth="1"/>
    <col min="23" max="24" width="14.28515625" style="4" customWidth="1"/>
    <col min="25" max="25" width="9.140625" style="10"/>
    <col min="26" max="26" width="11.42578125" style="8" bestFit="1" customWidth="1"/>
    <col min="27" max="27" width="9.28515625" style="8" bestFit="1" customWidth="1"/>
    <col min="28" max="28" width="2.85546875" style="8" customWidth="1"/>
    <col min="29" max="29" width="14.28515625" style="17" customWidth="1"/>
    <col min="30" max="30" width="19.85546875" style="17" customWidth="1"/>
    <col min="31" max="31" width="16.42578125" style="17" customWidth="1"/>
    <col min="32" max="32" width="14.28515625" style="17" customWidth="1"/>
    <col min="33" max="33" width="19.85546875" style="17" customWidth="1"/>
    <col min="34" max="34" width="16.42578125" style="17" customWidth="1"/>
    <col min="35" max="35" width="2.85546875" customWidth="1"/>
    <col min="36" max="37" width="9.140625" style="17"/>
  </cols>
  <sheetData>
    <row r="1" spans="1:37" s="5" customFormat="1" x14ac:dyDescent="0.2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1"/>
      <c r="W1" s="4"/>
      <c r="X1" s="4"/>
      <c r="Z1" s="6"/>
      <c r="AA1" s="6"/>
      <c r="AC1" s="7"/>
      <c r="AD1" s="7"/>
      <c r="AE1" s="7"/>
      <c r="AF1" s="7"/>
      <c r="AG1" s="7"/>
      <c r="AH1" s="7"/>
      <c r="AJ1" s="7"/>
      <c r="AK1" s="7"/>
    </row>
    <row r="2" spans="1:37" s="5" customFormat="1" x14ac:dyDescent="0.25">
      <c r="A2" s="4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43"/>
      <c r="W2" s="11" t="s">
        <v>32</v>
      </c>
      <c r="X2" s="11"/>
      <c r="Y2" s="11"/>
      <c r="Z2" s="11"/>
      <c r="AA2" s="12"/>
      <c r="AC2" s="1" t="s">
        <v>30</v>
      </c>
      <c r="AD2" s="2"/>
      <c r="AE2" s="3"/>
      <c r="AF2" s="11" t="s">
        <v>29</v>
      </c>
      <c r="AG2" s="11"/>
      <c r="AH2" s="12"/>
      <c r="AJ2" s="1" t="s">
        <v>31</v>
      </c>
      <c r="AK2" s="3"/>
    </row>
    <row r="3" spans="1:37" s="5" customFormat="1" ht="30" x14ac:dyDescent="0.25">
      <c r="A3" s="42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43"/>
      <c r="V3" s="37"/>
      <c r="W3" s="25" t="s">
        <v>8</v>
      </c>
      <c r="X3" s="25" t="s">
        <v>15</v>
      </c>
      <c r="Y3" s="24" t="s">
        <v>9</v>
      </c>
      <c r="Z3" s="18" t="s">
        <v>11</v>
      </c>
      <c r="AA3" s="18" t="s">
        <v>16</v>
      </c>
      <c r="AC3" s="14" t="s">
        <v>10</v>
      </c>
      <c r="AD3" s="15" t="s">
        <v>13</v>
      </c>
      <c r="AE3" s="15" t="s">
        <v>12</v>
      </c>
      <c r="AF3" s="16" t="s">
        <v>10</v>
      </c>
      <c r="AG3" s="16" t="s">
        <v>13</v>
      </c>
      <c r="AH3" s="16" t="s">
        <v>12</v>
      </c>
      <c r="AJ3" s="13" t="s">
        <v>27</v>
      </c>
      <c r="AK3" s="14" t="s">
        <v>28</v>
      </c>
    </row>
    <row r="4" spans="1:37" x14ac:dyDescent="0.25">
      <c r="A4" s="44"/>
      <c r="B4" s="30" t="s">
        <v>14</v>
      </c>
      <c r="C4" s="32">
        <v>45658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45"/>
      <c r="W4" s="19" t="s">
        <v>17</v>
      </c>
      <c r="X4" s="19" t="s">
        <v>17</v>
      </c>
      <c r="Y4" s="20">
        <v>0</v>
      </c>
      <c r="Z4" s="21">
        <v>0</v>
      </c>
      <c r="AA4" s="22">
        <f>Z4-N(Z3)</f>
        <v>0</v>
      </c>
      <c r="AB4"/>
      <c r="AC4" s="23">
        <f t="shared" ref="AC4:AC35" si="0">_qi * (1 + _Dnom * _b * Z4)^(-1/_b)</f>
        <v>2000</v>
      </c>
      <c r="AD4" s="23">
        <f t="shared" ref="AD4:AD35" si="1">IF(_b=1,
  _qi / _Dnom * LN((1 + _Dnom * _b * Z4)^(1/_b)),
  _qi / (_Dnom * (1 - _b)) * (1 - ((1 + _Dnom * _b * Z4)^(-(1 - _b) / _b)))
) / 1000</f>
        <v>0</v>
      </c>
      <c r="AE4" s="23">
        <f t="shared" ref="AE4:AE35" si="2">AD4-N(AD3)</f>
        <v>0</v>
      </c>
      <c r="AF4" s="23" cm="1">
        <f t="array" ref="AF4:AF64">(Z4:Z64*D12+D11)^(-1/_b)</f>
        <v>1999.9999999999995</v>
      </c>
      <c r="AG4" s="23" cm="1">
        <f t="array" ref="AG4:AG64">(IF(_b=1, LN(_xlfn.ANCHORARRAY(AF4)),_xlfn.ANCHORARRAY( AF4)^(1-_b))*D16+D15) / 1000</f>
        <v>0</v>
      </c>
      <c r="AH4" s="23">
        <f t="shared" ref="AH4:AH64" si="3">AG4-N(AG3)</f>
        <v>0</v>
      </c>
      <c r="AJ4" s="23">
        <f t="shared" ref="AJ4:AJ35" si="4">AC4^-_b</f>
        <v>4.8896638427146453E-3</v>
      </c>
      <c r="AK4" s="23">
        <f t="shared" ref="AK4:AK35" si="5">IF(_b=1, LN(AC4), AC4^(1-_b))</f>
        <v>9.7793276854292888</v>
      </c>
    </row>
    <row r="5" spans="1:37" ht="18" x14ac:dyDescent="0.35">
      <c r="A5" s="44"/>
      <c r="B5" s="33" t="s">
        <v>4</v>
      </c>
      <c r="C5" s="34">
        <v>2000</v>
      </c>
      <c r="D5" s="33" t="s">
        <v>3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45"/>
      <c r="W5" s="4">
        <f>C4</f>
        <v>45658</v>
      </c>
      <c r="X5" s="4">
        <f>EOMONTH(W5, 0)</f>
        <v>45688</v>
      </c>
      <c r="Y5" s="10">
        <f t="shared" ref="Y5:Y36" si="6">MONTH($W5) - MONTH($W$5) + 12 * (YEAR($W5) - YEAR($W$5)) + 1</f>
        <v>1</v>
      </c>
      <c r="Z5" s="8">
        <f>Z4+AA5</f>
        <v>31</v>
      </c>
      <c r="AA5" s="8">
        <f>X5-W5+1</f>
        <v>31</v>
      </c>
      <c r="AB5"/>
      <c r="AC5" s="9">
        <f t="shared" si="0"/>
        <v>1584.6514545181506</v>
      </c>
      <c r="AD5" s="9">
        <f t="shared" si="1"/>
        <v>55.138055586401215</v>
      </c>
      <c r="AE5" s="9">
        <f t="shared" si="2"/>
        <v>55.138055586401215</v>
      </c>
      <c r="AF5" s="9">
        <v>1584.6514545181494</v>
      </c>
      <c r="AG5" s="9">
        <v>55.138055586401492</v>
      </c>
      <c r="AH5" s="9">
        <f>AG5-N(AG4)</f>
        <v>55.138055586401492</v>
      </c>
      <c r="AJ5" s="9">
        <f t="shared" si="4"/>
        <v>5.75501384123099E-3</v>
      </c>
      <c r="AK5" s="9">
        <f t="shared" si="5"/>
        <v>9.1196910542787837</v>
      </c>
    </row>
    <row r="6" spans="1:37" ht="18" x14ac:dyDescent="0.35">
      <c r="A6" s="44"/>
      <c r="B6" s="33" t="s">
        <v>5</v>
      </c>
      <c r="C6" s="35">
        <v>0.8</v>
      </c>
      <c r="D6" s="33" t="s">
        <v>1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46"/>
      <c r="V6" s="38"/>
      <c r="W6" s="4">
        <f>EOMONTH(W5, 0) + 1</f>
        <v>45689</v>
      </c>
      <c r="X6" s="4">
        <f t="shared" ref="X6:X64" si="7">EOMONTH(W6, 0)</f>
        <v>45716</v>
      </c>
      <c r="Y6" s="10">
        <f t="shared" si="6"/>
        <v>2</v>
      </c>
      <c r="Z6" s="8">
        <f t="shared" ref="Z6:Z64" si="8">Z5+AA6</f>
        <v>59</v>
      </c>
      <c r="AA6" s="8">
        <f t="shared" ref="AA6:AA64" si="9">X6-W6+1</f>
        <v>28</v>
      </c>
      <c r="AC6" s="9">
        <f t="shared" si="0"/>
        <v>1321.0641812515003</v>
      </c>
      <c r="AD6" s="9">
        <f t="shared" si="1"/>
        <v>95.628014708498213</v>
      </c>
      <c r="AE6" s="9">
        <f t="shared" si="2"/>
        <v>40.489959122096998</v>
      </c>
      <c r="AF6" s="9">
        <v>1321.0641812514984</v>
      </c>
      <c r="AG6" s="9">
        <v>95.628014708498256</v>
      </c>
      <c r="AH6" s="9">
        <f t="shared" si="3"/>
        <v>40.489959122096764</v>
      </c>
      <c r="AJ6" s="9">
        <f t="shared" si="4"/>
        <v>6.536620291503828E-3</v>
      </c>
      <c r="AK6" s="9">
        <f t="shared" si="5"/>
        <v>8.6352949335474403</v>
      </c>
    </row>
    <row r="7" spans="1:37" x14ac:dyDescent="0.25">
      <c r="A7" s="44"/>
      <c r="B7" s="33" t="s">
        <v>0</v>
      </c>
      <c r="C7" s="31">
        <v>0.7</v>
      </c>
      <c r="D7" s="33" t="s">
        <v>2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45"/>
      <c r="W7" s="4">
        <f t="shared" ref="W7:W64" si="10">EOMONTH(W6, 0) + 1</f>
        <v>45717</v>
      </c>
      <c r="X7" s="4">
        <f t="shared" si="7"/>
        <v>45747</v>
      </c>
      <c r="Y7" s="10">
        <f t="shared" si="6"/>
        <v>3</v>
      </c>
      <c r="Z7" s="8">
        <f t="shared" si="8"/>
        <v>90</v>
      </c>
      <c r="AA7" s="8">
        <f t="shared" si="9"/>
        <v>31</v>
      </c>
      <c r="AC7" s="9">
        <f t="shared" si="0"/>
        <v>1106.0875849944057</v>
      </c>
      <c r="AD7" s="9">
        <f t="shared" si="1"/>
        <v>133.08131713712558</v>
      </c>
      <c r="AE7" s="9">
        <f t="shared" si="2"/>
        <v>37.453302428627367</v>
      </c>
      <c r="AF7" s="9">
        <v>1106.0875849944046</v>
      </c>
      <c r="AG7" s="9">
        <v>133.08131713712589</v>
      </c>
      <c r="AH7" s="9">
        <f t="shared" si="3"/>
        <v>37.453302428627637</v>
      </c>
      <c r="AJ7" s="9">
        <f t="shared" si="4"/>
        <v>7.4019702900201727E-3</v>
      </c>
      <c r="AK7" s="9">
        <f t="shared" si="5"/>
        <v>8.1872274422887532</v>
      </c>
    </row>
    <row r="8" spans="1:37" ht="18" x14ac:dyDescent="0.35">
      <c r="A8" s="44"/>
      <c r="B8" s="33" t="s">
        <v>6</v>
      </c>
      <c r="C8" s="36">
        <f>(((1 - C6)^-C7) - 1) / (365.25 * C7)</f>
        <v>8.1555463522051362E-3</v>
      </c>
      <c r="D8" s="33" t="s">
        <v>7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45"/>
      <c r="W8" s="4">
        <f t="shared" si="10"/>
        <v>45748</v>
      </c>
      <c r="X8" s="4">
        <f t="shared" si="7"/>
        <v>45777</v>
      </c>
      <c r="Y8" s="10">
        <f t="shared" si="6"/>
        <v>4</v>
      </c>
      <c r="Z8" s="8">
        <f t="shared" si="8"/>
        <v>120</v>
      </c>
      <c r="AA8" s="8">
        <f t="shared" si="9"/>
        <v>30</v>
      </c>
      <c r="AC8" s="9">
        <f t="shared" si="0"/>
        <v>949.0554416944201</v>
      </c>
      <c r="AD8" s="9">
        <f t="shared" si="1"/>
        <v>163.80633365778979</v>
      </c>
      <c r="AE8" s="9">
        <f t="shared" si="2"/>
        <v>30.725016520664212</v>
      </c>
      <c r="AF8" s="9">
        <v>949.05544169441964</v>
      </c>
      <c r="AG8" s="9">
        <v>163.80633365778996</v>
      </c>
      <c r="AH8" s="9">
        <f t="shared" si="3"/>
        <v>30.72501652066407</v>
      </c>
      <c r="AJ8" s="9">
        <f t="shared" si="4"/>
        <v>8.2394057724553479E-3</v>
      </c>
      <c r="AK8" s="9">
        <f t="shared" si="5"/>
        <v>7.8196528846771658</v>
      </c>
    </row>
    <row r="9" spans="1:37" x14ac:dyDescent="0.25">
      <c r="A9" s="44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45"/>
      <c r="W9" s="4">
        <f t="shared" si="10"/>
        <v>45778</v>
      </c>
      <c r="X9" s="4">
        <f t="shared" si="7"/>
        <v>45808</v>
      </c>
      <c r="Y9" s="10">
        <f t="shared" si="6"/>
        <v>5</v>
      </c>
      <c r="Z9" s="8">
        <f t="shared" si="8"/>
        <v>151</v>
      </c>
      <c r="AA9" s="8">
        <f t="shared" si="9"/>
        <v>31</v>
      </c>
      <c r="AC9" s="9">
        <f t="shared" si="0"/>
        <v>822.86956402013243</v>
      </c>
      <c r="AD9" s="9">
        <f t="shared" si="1"/>
        <v>191.19214854691279</v>
      </c>
      <c r="AE9" s="9">
        <f t="shared" si="2"/>
        <v>27.385814889122997</v>
      </c>
      <c r="AF9" s="9">
        <v>822.86956402013209</v>
      </c>
      <c r="AG9" s="9">
        <v>191.1921485469127</v>
      </c>
      <c r="AH9" s="9">
        <f t="shared" si="3"/>
        <v>27.385814889122742</v>
      </c>
      <c r="AJ9" s="9">
        <f t="shared" si="4"/>
        <v>9.1047557709716953E-3</v>
      </c>
      <c r="AK9" s="9">
        <f t="shared" si="5"/>
        <v>7.4920264117692632</v>
      </c>
    </row>
    <row r="10" spans="1:37" x14ac:dyDescent="0.25">
      <c r="A10" s="44"/>
      <c r="B10" s="27"/>
      <c r="C10" s="29" t="s">
        <v>18</v>
      </c>
      <c r="D10" s="29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45"/>
      <c r="W10" s="4">
        <f t="shared" si="10"/>
        <v>45809</v>
      </c>
      <c r="X10" s="4">
        <f t="shared" si="7"/>
        <v>45838</v>
      </c>
      <c r="Y10" s="10">
        <f t="shared" si="6"/>
        <v>6</v>
      </c>
      <c r="Z10" s="8">
        <f t="shared" si="8"/>
        <v>181</v>
      </c>
      <c r="AA10" s="8">
        <f t="shared" si="9"/>
        <v>30</v>
      </c>
      <c r="AC10" s="9">
        <f t="shared" si="0"/>
        <v>725.67111790242666</v>
      </c>
      <c r="AD10" s="9">
        <f t="shared" si="1"/>
        <v>214.36835297432219</v>
      </c>
      <c r="AE10" s="9">
        <f t="shared" si="2"/>
        <v>23.176204427409402</v>
      </c>
      <c r="AF10" s="9">
        <v>725.67111790242643</v>
      </c>
      <c r="AG10" s="9">
        <v>214.36835297432228</v>
      </c>
      <c r="AH10" s="9">
        <f t="shared" si="3"/>
        <v>23.176204427409573</v>
      </c>
      <c r="AJ10" s="9">
        <f t="shared" si="4"/>
        <v>9.9421912534068731E-3</v>
      </c>
      <c r="AK10" s="9">
        <f t="shared" si="5"/>
        <v>7.2147610412594929</v>
      </c>
    </row>
    <row r="11" spans="1:37" x14ac:dyDescent="0.25">
      <c r="A11" s="44"/>
      <c r="B11" s="27"/>
      <c r="C11" s="30" t="s">
        <v>19</v>
      </c>
      <c r="D11" s="52">
        <f>_qi^-_b</f>
        <v>4.8896638427146453E-3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45"/>
      <c r="W11" s="4">
        <f t="shared" si="10"/>
        <v>45839</v>
      </c>
      <c r="X11" s="4">
        <f t="shared" si="7"/>
        <v>45869</v>
      </c>
      <c r="Y11" s="10">
        <f t="shared" si="6"/>
        <v>7</v>
      </c>
      <c r="Z11" s="8">
        <f t="shared" si="8"/>
        <v>212</v>
      </c>
      <c r="AA11" s="8">
        <f t="shared" si="9"/>
        <v>31</v>
      </c>
      <c r="AC11" s="9">
        <f t="shared" si="0"/>
        <v>644.11226467416679</v>
      </c>
      <c r="AD11" s="9">
        <f t="shared" si="1"/>
        <v>235.55730694969412</v>
      </c>
      <c r="AE11" s="9">
        <f t="shared" si="2"/>
        <v>21.18895397537193</v>
      </c>
      <c r="AF11" s="9">
        <v>644.11226467416634</v>
      </c>
      <c r="AG11" s="9">
        <v>235.55730694969418</v>
      </c>
      <c r="AH11" s="9">
        <f t="shared" si="3"/>
        <v>21.188953975371902</v>
      </c>
      <c r="AJ11" s="9">
        <f t="shared" si="4"/>
        <v>1.0807541251923221E-2</v>
      </c>
      <c r="AK11" s="9">
        <f t="shared" si="5"/>
        <v>6.9612698713357464</v>
      </c>
    </row>
    <row r="12" spans="1:37" x14ac:dyDescent="0.25">
      <c r="A12" s="44"/>
      <c r="B12" s="27"/>
      <c r="C12" s="30" t="s">
        <v>20</v>
      </c>
      <c r="D12" s="52">
        <f>_Dnom*_b*D11</f>
        <v>2.7914516081172538E-5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45"/>
      <c r="W12" s="4">
        <f t="shared" si="10"/>
        <v>45870</v>
      </c>
      <c r="X12" s="4">
        <f t="shared" si="7"/>
        <v>45900</v>
      </c>
      <c r="Y12" s="10">
        <f t="shared" si="6"/>
        <v>8</v>
      </c>
      <c r="Z12" s="8">
        <f t="shared" si="8"/>
        <v>243</v>
      </c>
      <c r="AA12" s="8">
        <f t="shared" si="9"/>
        <v>31</v>
      </c>
      <c r="AC12" s="9">
        <f t="shared" si="0"/>
        <v>576.99713654799439</v>
      </c>
      <c r="AD12" s="9">
        <f t="shared" si="1"/>
        <v>254.45207968574567</v>
      </c>
      <c r="AE12" s="9">
        <f t="shared" si="2"/>
        <v>18.89477273605155</v>
      </c>
      <c r="AF12" s="9">
        <v>576.99713654799416</v>
      </c>
      <c r="AG12" s="9">
        <v>254.45207968574564</v>
      </c>
      <c r="AH12" s="9">
        <f t="shared" si="3"/>
        <v>18.894772736051465</v>
      </c>
      <c r="AJ12" s="9">
        <f t="shared" si="4"/>
        <v>1.1672891250439575E-2</v>
      </c>
      <c r="AK12" s="9">
        <f t="shared" si="5"/>
        <v>6.7352248267397696</v>
      </c>
    </row>
    <row r="13" spans="1:37" x14ac:dyDescent="0.25">
      <c r="A13" s="44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45"/>
      <c r="W13" s="4">
        <f t="shared" si="10"/>
        <v>45901</v>
      </c>
      <c r="X13" s="4">
        <f t="shared" si="7"/>
        <v>45930</v>
      </c>
      <c r="Y13" s="10">
        <f t="shared" si="6"/>
        <v>9</v>
      </c>
      <c r="Z13" s="8">
        <f t="shared" si="8"/>
        <v>273</v>
      </c>
      <c r="AA13" s="8">
        <f t="shared" si="9"/>
        <v>30</v>
      </c>
      <c r="AC13" s="9">
        <f t="shared" si="0"/>
        <v>522.621942156111</v>
      </c>
      <c r="AD13" s="9">
        <f t="shared" si="1"/>
        <v>270.9234979276585</v>
      </c>
      <c r="AE13" s="9">
        <f t="shared" si="2"/>
        <v>16.471418241912829</v>
      </c>
      <c r="AF13" s="9">
        <v>522.62194215611112</v>
      </c>
      <c r="AG13" s="9">
        <v>270.92349792765839</v>
      </c>
      <c r="AH13" s="9">
        <f t="shared" si="3"/>
        <v>16.471418241912744</v>
      </c>
      <c r="AJ13" s="9">
        <f t="shared" si="4"/>
        <v>1.2510326732874746E-2</v>
      </c>
      <c r="AK13" s="9">
        <f t="shared" si="5"/>
        <v>6.5381712541425152</v>
      </c>
    </row>
    <row r="14" spans="1:37" x14ac:dyDescent="0.25">
      <c r="A14" s="44"/>
      <c r="B14" s="27"/>
      <c r="C14" s="29" t="s">
        <v>21</v>
      </c>
      <c r="D14" s="29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45"/>
      <c r="W14" s="4">
        <f t="shared" si="10"/>
        <v>45931</v>
      </c>
      <c r="X14" s="4">
        <f t="shared" si="7"/>
        <v>45961</v>
      </c>
      <c r="Y14" s="10">
        <f t="shared" si="6"/>
        <v>10</v>
      </c>
      <c r="Z14" s="8">
        <f t="shared" si="8"/>
        <v>304</v>
      </c>
      <c r="AA14" s="8">
        <f t="shared" si="9"/>
        <v>31</v>
      </c>
      <c r="AC14" s="9">
        <f t="shared" si="0"/>
        <v>474.99798323317827</v>
      </c>
      <c r="AD14" s="9">
        <f t="shared" si="1"/>
        <v>286.36662762057392</v>
      </c>
      <c r="AE14" s="9">
        <f t="shared" si="2"/>
        <v>15.44312969291542</v>
      </c>
      <c r="AF14" s="9">
        <v>474.99798323317788</v>
      </c>
      <c r="AG14" s="9">
        <v>286.36662762057409</v>
      </c>
      <c r="AH14" s="9">
        <f t="shared" si="3"/>
        <v>15.443129692915704</v>
      </c>
      <c r="AJ14" s="9">
        <f t="shared" si="4"/>
        <v>1.33756767313911E-2</v>
      </c>
      <c r="AK14" s="9">
        <f t="shared" si="5"/>
        <v>6.3534194717897199</v>
      </c>
    </row>
    <row r="15" spans="1:37" x14ac:dyDescent="0.25">
      <c r="A15" s="44"/>
      <c r="B15" s="27"/>
      <c r="C15" s="30" t="s">
        <v>19</v>
      </c>
      <c r="D15" s="51">
        <f>IF(_b=1,
  LN(_qi)*-D16,
  _qi^(1-_b)*-D16
)</f>
        <v>817439.61455924995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45"/>
      <c r="W15" s="4">
        <f t="shared" si="10"/>
        <v>45962</v>
      </c>
      <c r="X15" s="4">
        <f t="shared" si="7"/>
        <v>45991</v>
      </c>
      <c r="Y15" s="10">
        <f t="shared" si="6"/>
        <v>11</v>
      </c>
      <c r="Z15" s="8">
        <f t="shared" si="8"/>
        <v>334</v>
      </c>
      <c r="AA15" s="8">
        <f t="shared" si="9"/>
        <v>30</v>
      </c>
      <c r="AC15" s="9">
        <f t="shared" si="0"/>
        <v>435.52736749165183</v>
      </c>
      <c r="AD15" s="9">
        <f t="shared" si="1"/>
        <v>300.00995778789922</v>
      </c>
      <c r="AE15" s="9">
        <f t="shared" si="2"/>
        <v>13.643330167325303</v>
      </c>
      <c r="AF15" s="9">
        <v>435.52736749165166</v>
      </c>
      <c r="AG15" s="9">
        <v>300.00995778789922</v>
      </c>
      <c r="AH15" s="9">
        <f t="shared" si="3"/>
        <v>13.643330167325132</v>
      </c>
      <c r="AJ15" s="9">
        <f t="shared" si="4"/>
        <v>1.4213112213826271E-2</v>
      </c>
      <c r="AK15" s="9">
        <f t="shared" si="5"/>
        <v>6.1901993463511982</v>
      </c>
    </row>
    <row r="16" spans="1:37" x14ac:dyDescent="0.25">
      <c r="A16" s="44"/>
      <c r="B16" s="27"/>
      <c r="C16" s="30" t="s">
        <v>20</v>
      </c>
      <c r="D16" s="51">
        <f>IF(_b=1,
  -1/(_Dnom/_qi),
  -1/((1-_b)*_Dnom*_qi^-_b)
)</f>
        <v>-83588.528869647576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45"/>
      <c r="W16" s="4">
        <f t="shared" si="10"/>
        <v>45992</v>
      </c>
      <c r="X16" s="4">
        <f t="shared" si="7"/>
        <v>46022</v>
      </c>
      <c r="Y16" s="10">
        <f t="shared" si="6"/>
        <v>12</v>
      </c>
      <c r="Z16" s="8">
        <f t="shared" si="8"/>
        <v>365</v>
      </c>
      <c r="AA16" s="8">
        <f t="shared" si="9"/>
        <v>31</v>
      </c>
      <c r="AC16" s="9">
        <f t="shared" si="0"/>
        <v>400.26449537181946</v>
      </c>
      <c r="AD16" s="9">
        <f t="shared" si="1"/>
        <v>312.95165859167088</v>
      </c>
      <c r="AE16" s="9">
        <f t="shared" si="2"/>
        <v>12.941700803771653</v>
      </c>
      <c r="AF16" s="9">
        <v>400.26449537181935</v>
      </c>
      <c r="AG16" s="9">
        <v>312.95165859167093</v>
      </c>
      <c r="AH16" s="9">
        <f t="shared" si="3"/>
        <v>12.94170080377171</v>
      </c>
      <c r="AJ16" s="9">
        <f t="shared" si="4"/>
        <v>1.5078462212342618E-2</v>
      </c>
      <c r="AK16" s="9">
        <f t="shared" si="5"/>
        <v>6.0353730684063667</v>
      </c>
    </row>
    <row r="17" spans="1:37" x14ac:dyDescent="0.25">
      <c r="A17" s="44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45"/>
      <c r="W17" s="4">
        <f t="shared" si="10"/>
        <v>46023</v>
      </c>
      <c r="X17" s="4">
        <f t="shared" si="7"/>
        <v>46053</v>
      </c>
      <c r="Y17" s="10">
        <f t="shared" si="6"/>
        <v>13</v>
      </c>
      <c r="Z17" s="8">
        <f t="shared" si="8"/>
        <v>396</v>
      </c>
      <c r="AA17" s="8">
        <f t="shared" si="9"/>
        <v>31</v>
      </c>
      <c r="AC17" s="9">
        <f t="shared" si="0"/>
        <v>369.59447523314486</v>
      </c>
      <c r="AD17" s="9">
        <f t="shared" si="1"/>
        <v>324.87373675491932</v>
      </c>
      <c r="AE17" s="9">
        <f t="shared" si="2"/>
        <v>11.922078163248443</v>
      </c>
      <c r="AF17" s="9">
        <v>369.59447523314458</v>
      </c>
      <c r="AG17" s="9">
        <v>324.87373675491938</v>
      </c>
      <c r="AH17" s="9">
        <f t="shared" si="3"/>
        <v>11.922078163248443</v>
      </c>
      <c r="AJ17" s="9">
        <f t="shared" si="4"/>
        <v>1.5943812210858967E-2</v>
      </c>
      <c r="AK17" s="9">
        <f t="shared" si="5"/>
        <v>5.8927449072882272</v>
      </c>
    </row>
    <row r="18" spans="1:37" x14ac:dyDescent="0.25">
      <c r="A18" s="44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45"/>
      <c r="W18" s="4">
        <f t="shared" si="10"/>
        <v>46054</v>
      </c>
      <c r="X18" s="4">
        <f t="shared" si="7"/>
        <v>46081</v>
      </c>
      <c r="Y18" s="10">
        <f t="shared" si="6"/>
        <v>14</v>
      </c>
      <c r="Z18" s="8">
        <f t="shared" si="8"/>
        <v>424</v>
      </c>
      <c r="AA18" s="8">
        <f t="shared" si="9"/>
        <v>28</v>
      </c>
      <c r="AC18" s="9">
        <f t="shared" si="0"/>
        <v>345.16985538439479</v>
      </c>
      <c r="AD18" s="9">
        <f t="shared" si="1"/>
        <v>334.87381419417659</v>
      </c>
      <c r="AE18" s="9">
        <f t="shared" si="2"/>
        <v>10.000077439257268</v>
      </c>
      <c r="AF18" s="9">
        <v>345.16985538439479</v>
      </c>
      <c r="AG18" s="9">
        <v>334.87381419417648</v>
      </c>
      <c r="AH18" s="9">
        <f t="shared" si="3"/>
        <v>10.000077439257097</v>
      </c>
      <c r="AJ18" s="9">
        <f t="shared" si="4"/>
        <v>1.6725418661131794E-2</v>
      </c>
      <c r="AK18" s="9">
        <f t="shared" si="5"/>
        <v>5.77311034050632</v>
      </c>
    </row>
    <row r="19" spans="1:37" x14ac:dyDescent="0.25">
      <c r="A19" s="44"/>
      <c r="B19" s="29" t="s">
        <v>25</v>
      </c>
      <c r="C19" s="29"/>
      <c r="D19" s="29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45"/>
      <c r="W19" s="4">
        <f t="shared" si="10"/>
        <v>46082</v>
      </c>
      <c r="X19" s="4">
        <f t="shared" si="7"/>
        <v>46112</v>
      </c>
      <c r="Y19" s="10">
        <f t="shared" si="6"/>
        <v>15</v>
      </c>
      <c r="Z19" s="8">
        <f t="shared" si="8"/>
        <v>455</v>
      </c>
      <c r="AA19" s="8">
        <f t="shared" si="9"/>
        <v>31</v>
      </c>
      <c r="AC19" s="9">
        <f t="shared" si="0"/>
        <v>321.17074233633122</v>
      </c>
      <c r="AD19" s="9">
        <f t="shared" si="1"/>
        <v>345.1944992006193</v>
      </c>
      <c r="AE19" s="9">
        <f t="shared" si="2"/>
        <v>10.320685006442716</v>
      </c>
      <c r="AF19" s="9">
        <v>321.17074233633105</v>
      </c>
      <c r="AG19" s="9">
        <v>345.19449920061925</v>
      </c>
      <c r="AH19" s="9">
        <f t="shared" si="3"/>
        <v>10.320685006442773</v>
      </c>
      <c r="AJ19" s="9">
        <f t="shared" si="4"/>
        <v>1.7590768659648134E-2</v>
      </c>
      <c r="AK19" s="9">
        <f t="shared" si="5"/>
        <v>5.6496402286858656</v>
      </c>
    </row>
    <row r="20" spans="1:37" x14ac:dyDescent="0.25">
      <c r="A20" s="44"/>
      <c r="B20" s="30" t="s">
        <v>22</v>
      </c>
      <c r="C20" s="30" t="s">
        <v>23</v>
      </c>
      <c r="D20" s="30" t="s">
        <v>24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45"/>
      <c r="W20" s="4">
        <f t="shared" si="10"/>
        <v>46113</v>
      </c>
      <c r="X20" s="4">
        <f t="shared" si="7"/>
        <v>46142</v>
      </c>
      <c r="Y20" s="10">
        <f t="shared" si="6"/>
        <v>16</v>
      </c>
      <c r="Z20" s="8">
        <f t="shared" si="8"/>
        <v>485</v>
      </c>
      <c r="AA20" s="8">
        <f t="shared" si="9"/>
        <v>30</v>
      </c>
      <c r="AC20" s="9">
        <f t="shared" si="0"/>
        <v>300.52555490520552</v>
      </c>
      <c r="AD20" s="9">
        <f t="shared" si="1"/>
        <v>354.51411470806806</v>
      </c>
      <c r="AE20" s="9">
        <f t="shared" si="2"/>
        <v>9.3196155074487592</v>
      </c>
      <c r="AF20" s="9">
        <v>300.52555490520513</v>
      </c>
      <c r="AG20" s="9">
        <v>354.51411470806823</v>
      </c>
      <c r="AH20" s="9">
        <f t="shared" si="3"/>
        <v>9.3196155074489866</v>
      </c>
      <c r="AJ20" s="9">
        <f t="shared" si="4"/>
        <v>1.8428204142083328E-2</v>
      </c>
      <c r="AK20" s="9">
        <f t="shared" si="5"/>
        <v>5.538146275705996</v>
      </c>
    </row>
    <row r="21" spans="1:37" x14ac:dyDescent="0.25">
      <c r="A21" s="44"/>
      <c r="B21" s="31">
        <f>Z6</f>
        <v>59</v>
      </c>
      <c r="C21" s="51" cm="1">
        <f t="array" ref="C21:C22">(B21:B22*D12+D11)^(-1/_b)</f>
        <v>1321.0641812514984</v>
      </c>
      <c r="D21" s="51" cm="1">
        <f t="array" ref="D21:D22">IF(_b=1, LN(_xlfn.ANCHORARRAY(C21)),_xlfn.ANCHORARRAY( C21)^(1-_b))*D16+D15</f>
        <v>95628.01470849826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45"/>
      <c r="W21" s="4">
        <f t="shared" si="10"/>
        <v>46143</v>
      </c>
      <c r="X21" s="4">
        <f t="shared" si="7"/>
        <v>46173</v>
      </c>
      <c r="Y21" s="10">
        <f t="shared" si="6"/>
        <v>17</v>
      </c>
      <c r="Z21" s="8">
        <f t="shared" si="8"/>
        <v>516</v>
      </c>
      <c r="AA21" s="8">
        <f t="shared" si="9"/>
        <v>31</v>
      </c>
      <c r="AC21" s="9">
        <f t="shared" si="0"/>
        <v>281.45637405872577</v>
      </c>
      <c r="AD21" s="9">
        <f t="shared" si="1"/>
        <v>363.52934522964006</v>
      </c>
      <c r="AE21" s="9">
        <f t="shared" si="2"/>
        <v>9.0152305215719934</v>
      </c>
      <c r="AF21" s="9">
        <v>281.45637405872571</v>
      </c>
      <c r="AG21" s="9">
        <v>363.52934522963994</v>
      </c>
      <c r="AH21" s="9">
        <f t="shared" si="3"/>
        <v>9.0152305215717092</v>
      </c>
      <c r="AJ21" s="9">
        <f t="shared" si="4"/>
        <v>1.9293554140599675E-2</v>
      </c>
      <c r="AK21" s="9">
        <f t="shared" si="5"/>
        <v>5.4302937911188982</v>
      </c>
    </row>
    <row r="22" spans="1:37" x14ac:dyDescent="0.25">
      <c r="A22" s="44"/>
      <c r="B22" s="31">
        <f>Z7</f>
        <v>90</v>
      </c>
      <c r="C22" s="51">
        <v>1106.0875849944046</v>
      </c>
      <c r="D22" s="51">
        <v>133081.31713712588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45"/>
      <c r="W22" s="4">
        <f t="shared" si="10"/>
        <v>46174</v>
      </c>
      <c r="X22" s="4">
        <f t="shared" si="7"/>
        <v>46203</v>
      </c>
      <c r="Y22" s="10">
        <f t="shared" si="6"/>
        <v>18</v>
      </c>
      <c r="Z22" s="8">
        <f t="shared" si="8"/>
        <v>546</v>
      </c>
      <c r="AA22" s="8">
        <f t="shared" si="9"/>
        <v>30</v>
      </c>
      <c r="AC22" s="9">
        <f t="shared" si="0"/>
        <v>264.88039870910444</v>
      </c>
      <c r="AD22" s="9">
        <f t="shared" si="1"/>
        <v>371.72012109131583</v>
      </c>
      <c r="AE22" s="9">
        <f t="shared" si="2"/>
        <v>8.1907758616757746</v>
      </c>
      <c r="AF22" s="9">
        <v>264.88039870910427</v>
      </c>
      <c r="AG22" s="9">
        <v>371.72012109131589</v>
      </c>
      <c r="AH22" s="9">
        <f t="shared" si="3"/>
        <v>8.1907758616759452</v>
      </c>
      <c r="AJ22" s="9">
        <f t="shared" si="4"/>
        <v>2.0130989623034844E-2</v>
      </c>
      <c r="AK22" s="9">
        <f t="shared" si="5"/>
        <v>5.3323045577583157</v>
      </c>
    </row>
    <row r="23" spans="1:37" x14ac:dyDescent="0.25">
      <c r="A23" s="44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45"/>
      <c r="W23" s="4">
        <f t="shared" si="10"/>
        <v>46204</v>
      </c>
      <c r="X23" s="4">
        <f t="shared" si="7"/>
        <v>46234</v>
      </c>
      <c r="Y23" s="10">
        <f t="shared" si="6"/>
        <v>19</v>
      </c>
      <c r="Z23" s="8">
        <f t="shared" si="8"/>
        <v>577</v>
      </c>
      <c r="AA23" s="8">
        <f t="shared" si="9"/>
        <v>31</v>
      </c>
      <c r="AC23" s="9">
        <f t="shared" si="0"/>
        <v>249.42370727894669</v>
      </c>
      <c r="AD23" s="9">
        <f t="shared" si="1"/>
        <v>379.68775375600762</v>
      </c>
      <c r="AE23" s="9">
        <f t="shared" si="2"/>
        <v>7.9676326646917914</v>
      </c>
      <c r="AF23" s="9">
        <v>249.42370727894652</v>
      </c>
      <c r="AG23" s="9">
        <v>379.68775375600762</v>
      </c>
      <c r="AH23" s="9">
        <f t="shared" si="3"/>
        <v>7.9676326646917346</v>
      </c>
      <c r="AJ23" s="9">
        <f t="shared" si="4"/>
        <v>2.0996339621551195E-2</v>
      </c>
      <c r="AK23" s="9">
        <f t="shared" si="5"/>
        <v>5.2369848676951358</v>
      </c>
    </row>
    <row r="24" spans="1:37" x14ac:dyDescent="0.25">
      <c r="A24" s="44"/>
      <c r="B24" s="29" t="s">
        <v>26</v>
      </c>
      <c r="C24" s="29"/>
      <c r="D24" s="51">
        <f>D22-D21</f>
        <v>37453.30242862762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45"/>
      <c r="W24" s="4">
        <f t="shared" si="10"/>
        <v>46235</v>
      </c>
      <c r="X24" s="4">
        <f t="shared" si="7"/>
        <v>46265</v>
      </c>
      <c r="Y24" s="10">
        <f t="shared" si="6"/>
        <v>20</v>
      </c>
      <c r="Z24" s="8">
        <f t="shared" si="8"/>
        <v>608</v>
      </c>
      <c r="AA24" s="8">
        <f t="shared" si="9"/>
        <v>31</v>
      </c>
      <c r="AC24" s="9">
        <f t="shared" si="0"/>
        <v>235.44007860258171</v>
      </c>
      <c r="AD24" s="9">
        <f t="shared" si="1"/>
        <v>387.19959949604072</v>
      </c>
      <c r="AE24" s="9">
        <f t="shared" si="2"/>
        <v>7.5118457400330954</v>
      </c>
      <c r="AF24" s="9">
        <v>235.44007860258156</v>
      </c>
      <c r="AG24" s="9">
        <v>387.19959949604083</v>
      </c>
      <c r="AH24" s="9">
        <f t="shared" si="3"/>
        <v>7.511845740033209</v>
      </c>
      <c r="AJ24" s="9">
        <f t="shared" si="4"/>
        <v>2.1861689620067536E-2</v>
      </c>
      <c r="AK24" s="9">
        <f t="shared" si="5"/>
        <v>5.1471179225339476</v>
      </c>
    </row>
    <row r="25" spans="1:37" x14ac:dyDescent="0.25">
      <c r="A25" s="44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45"/>
      <c r="W25" s="4">
        <f t="shared" si="10"/>
        <v>46266</v>
      </c>
      <c r="X25" s="4">
        <f t="shared" si="7"/>
        <v>46295</v>
      </c>
      <c r="Y25" s="10">
        <f t="shared" si="6"/>
        <v>21</v>
      </c>
      <c r="Z25" s="8">
        <f t="shared" si="8"/>
        <v>638</v>
      </c>
      <c r="AA25" s="8">
        <f t="shared" si="9"/>
        <v>30</v>
      </c>
      <c r="AC25" s="9">
        <f t="shared" si="0"/>
        <v>223.13022443861482</v>
      </c>
      <c r="AD25" s="9">
        <f t="shared" si="1"/>
        <v>394.07534478082215</v>
      </c>
      <c r="AE25" s="9">
        <f t="shared" si="2"/>
        <v>6.8757452847814307</v>
      </c>
      <c r="AF25" s="9">
        <v>223.13022443861476</v>
      </c>
      <c r="AG25" s="9">
        <v>394.07534478082215</v>
      </c>
      <c r="AH25" s="9">
        <f t="shared" si="3"/>
        <v>6.875745284781317</v>
      </c>
      <c r="AJ25" s="9">
        <f t="shared" si="4"/>
        <v>2.2699125102502729E-2</v>
      </c>
      <c r="AK25" s="9">
        <f t="shared" si="5"/>
        <v>5.0648608786816274</v>
      </c>
    </row>
    <row r="26" spans="1:37" x14ac:dyDescent="0.25">
      <c r="A26" s="44"/>
      <c r="B26" s="29" t="s">
        <v>33</v>
      </c>
      <c r="C26" s="31">
        <f>AC64</f>
        <v>61.636557225653966</v>
      </c>
      <c r="D26" s="51">
        <f>IF(_b=1, LN(C26), C26^(1-_b))*D16+D15</f>
        <v>529634.70794916491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45"/>
      <c r="W26" s="4">
        <f t="shared" si="10"/>
        <v>46296</v>
      </c>
      <c r="X26" s="4">
        <f t="shared" si="7"/>
        <v>46326</v>
      </c>
      <c r="Y26" s="10">
        <f t="shared" si="6"/>
        <v>22</v>
      </c>
      <c r="Z26" s="8">
        <f t="shared" si="8"/>
        <v>669</v>
      </c>
      <c r="AA26" s="8">
        <f t="shared" si="9"/>
        <v>31</v>
      </c>
      <c r="AC26" s="9">
        <f t="shared" si="0"/>
        <v>211.51737224494767</v>
      </c>
      <c r="AD26" s="9">
        <f t="shared" si="1"/>
        <v>400.80965686463941</v>
      </c>
      <c r="AE26" s="9">
        <f t="shared" si="2"/>
        <v>6.7343120838172581</v>
      </c>
      <c r="AF26" s="9">
        <v>211.51737224494738</v>
      </c>
      <c r="AG26" s="9">
        <v>400.80965686463941</v>
      </c>
      <c r="AH26" s="9">
        <f t="shared" si="3"/>
        <v>6.7343120838172581</v>
      </c>
      <c r="AJ26" s="9">
        <f t="shared" si="4"/>
        <v>2.3564475101019063E-2</v>
      </c>
      <c r="AK26" s="9">
        <f t="shared" si="5"/>
        <v>4.9842958516990494</v>
      </c>
    </row>
    <row r="27" spans="1:37" x14ac:dyDescent="0.25">
      <c r="A27" s="47"/>
      <c r="B27" s="48"/>
      <c r="C27" s="48"/>
      <c r="D27" s="49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50"/>
      <c r="W27" s="4">
        <f t="shared" si="10"/>
        <v>46327</v>
      </c>
      <c r="X27" s="4">
        <f t="shared" si="7"/>
        <v>46356</v>
      </c>
      <c r="Y27" s="10">
        <f t="shared" si="6"/>
        <v>23</v>
      </c>
      <c r="Z27" s="8">
        <f t="shared" si="8"/>
        <v>699</v>
      </c>
      <c r="AA27" s="8">
        <f t="shared" si="9"/>
        <v>30</v>
      </c>
      <c r="AC27" s="9">
        <f t="shared" si="0"/>
        <v>201.22421455194942</v>
      </c>
      <c r="AD27" s="9">
        <f t="shared" si="1"/>
        <v>406.99859843335418</v>
      </c>
      <c r="AE27" s="9">
        <f t="shared" si="2"/>
        <v>6.1889415687147675</v>
      </c>
      <c r="AF27" s="9">
        <v>201.2242145519493</v>
      </c>
      <c r="AG27" s="9">
        <v>406.99859843335412</v>
      </c>
      <c r="AH27" s="9">
        <f t="shared" si="3"/>
        <v>6.1889415687147107</v>
      </c>
      <c r="AJ27" s="9">
        <f t="shared" si="4"/>
        <v>2.4401910583454242E-2</v>
      </c>
      <c r="AK27" s="9">
        <f t="shared" si="5"/>
        <v>4.9102552907224819</v>
      </c>
    </row>
    <row r="28" spans="1:37" x14ac:dyDescent="0.25">
      <c r="W28" s="4">
        <f t="shared" si="10"/>
        <v>46357</v>
      </c>
      <c r="X28" s="4">
        <f t="shared" si="7"/>
        <v>46387</v>
      </c>
      <c r="Y28" s="10">
        <f t="shared" si="6"/>
        <v>24</v>
      </c>
      <c r="Z28" s="8">
        <f t="shared" si="8"/>
        <v>730</v>
      </c>
      <c r="AA28" s="8">
        <f t="shared" si="9"/>
        <v>31</v>
      </c>
      <c r="AC28" s="9">
        <f t="shared" si="0"/>
        <v>191.45194045106985</v>
      </c>
      <c r="AD28" s="9">
        <f t="shared" si="1"/>
        <v>413.08294245312334</v>
      </c>
      <c r="AE28" s="9">
        <f t="shared" si="2"/>
        <v>6.0843440197691621</v>
      </c>
      <c r="AF28" s="9">
        <v>191.45194045106962</v>
      </c>
      <c r="AG28" s="9">
        <v>413.08294245312328</v>
      </c>
      <c r="AH28" s="9">
        <f t="shared" si="3"/>
        <v>6.0843440197691621</v>
      </c>
      <c r="AJ28" s="9">
        <f t="shared" si="4"/>
        <v>2.5267260581970596E-2</v>
      </c>
      <c r="AK28" s="9">
        <f t="shared" si="5"/>
        <v>4.8374660683010964</v>
      </c>
    </row>
    <row r="29" spans="1:37" x14ac:dyDescent="0.25">
      <c r="W29" s="4">
        <f t="shared" si="10"/>
        <v>46388</v>
      </c>
      <c r="X29" s="4">
        <f t="shared" si="7"/>
        <v>46418</v>
      </c>
      <c r="Y29" s="10">
        <f t="shared" si="6"/>
        <v>25</v>
      </c>
      <c r="Z29" s="8">
        <f t="shared" si="8"/>
        <v>761</v>
      </c>
      <c r="AA29" s="8">
        <f t="shared" si="9"/>
        <v>31</v>
      </c>
      <c r="AC29" s="9">
        <f t="shared" si="0"/>
        <v>182.45990027081038</v>
      </c>
      <c r="AD29" s="9">
        <f t="shared" si="1"/>
        <v>418.87667637010281</v>
      </c>
      <c r="AE29" s="9">
        <f t="shared" si="2"/>
        <v>5.7937339169794768</v>
      </c>
      <c r="AF29" s="9">
        <v>182.45990027081027</v>
      </c>
      <c r="AG29" s="9">
        <v>418.87667637010281</v>
      </c>
      <c r="AH29" s="9">
        <f t="shared" si="3"/>
        <v>5.7937339169795337</v>
      </c>
      <c r="AJ29" s="9">
        <f t="shared" si="4"/>
        <v>2.6132610580486937E-2</v>
      </c>
      <c r="AK29" s="9">
        <f t="shared" si="5"/>
        <v>4.7681535203315706</v>
      </c>
    </row>
    <row r="30" spans="1:37" x14ac:dyDescent="0.25">
      <c r="W30" s="4">
        <f t="shared" si="10"/>
        <v>46419</v>
      </c>
      <c r="X30" s="4">
        <f t="shared" si="7"/>
        <v>46446</v>
      </c>
      <c r="Y30" s="10">
        <f t="shared" si="6"/>
        <v>26</v>
      </c>
      <c r="Z30" s="8">
        <f t="shared" si="8"/>
        <v>789</v>
      </c>
      <c r="AA30" s="8">
        <f t="shared" si="9"/>
        <v>28</v>
      </c>
      <c r="AC30" s="9">
        <f t="shared" si="0"/>
        <v>174.93762014240559</v>
      </c>
      <c r="AD30" s="9">
        <f t="shared" si="1"/>
        <v>423.87898548652123</v>
      </c>
      <c r="AE30" s="9">
        <f t="shared" si="2"/>
        <v>5.0023091164184166</v>
      </c>
      <c r="AF30" s="9">
        <v>174.93762014240542</v>
      </c>
      <c r="AG30" s="9">
        <v>423.87898548652129</v>
      </c>
      <c r="AH30" s="9">
        <f t="shared" si="3"/>
        <v>5.0023091164184734</v>
      </c>
      <c r="AJ30" s="9">
        <f t="shared" si="4"/>
        <v>2.6914217030759784E-2</v>
      </c>
      <c r="AK30" s="9">
        <f t="shared" si="5"/>
        <v>4.7083090753573167</v>
      </c>
    </row>
    <row r="31" spans="1:37" x14ac:dyDescent="0.25">
      <c r="W31" s="4">
        <f t="shared" si="10"/>
        <v>46447</v>
      </c>
      <c r="X31" s="4">
        <f t="shared" si="7"/>
        <v>46477</v>
      </c>
      <c r="Y31" s="10">
        <f t="shared" si="6"/>
        <v>27</v>
      </c>
      <c r="Z31" s="8">
        <f t="shared" si="8"/>
        <v>820</v>
      </c>
      <c r="AA31" s="8">
        <f t="shared" si="9"/>
        <v>31</v>
      </c>
      <c r="AC31" s="9">
        <f t="shared" si="0"/>
        <v>167.20502491827972</v>
      </c>
      <c r="AD31" s="9">
        <f t="shared" si="1"/>
        <v>429.1806613214909</v>
      </c>
      <c r="AE31" s="9">
        <f t="shared" si="2"/>
        <v>5.3016758349696715</v>
      </c>
      <c r="AF31" s="9">
        <v>167.20502491827969</v>
      </c>
      <c r="AG31" s="9">
        <v>429.18066132149085</v>
      </c>
      <c r="AH31" s="9">
        <f t="shared" si="3"/>
        <v>5.3016758349695579</v>
      </c>
      <c r="AJ31" s="9">
        <f t="shared" si="4"/>
        <v>2.7779567029276125E-2</v>
      </c>
      <c r="AK31" s="9">
        <f t="shared" si="5"/>
        <v>4.6448831973491354</v>
      </c>
    </row>
    <row r="32" spans="1:37" x14ac:dyDescent="0.25">
      <c r="W32" s="4">
        <f t="shared" si="10"/>
        <v>46478</v>
      </c>
      <c r="X32" s="4">
        <f t="shared" si="7"/>
        <v>46507</v>
      </c>
      <c r="Y32" s="10">
        <f t="shared" si="6"/>
        <v>28</v>
      </c>
      <c r="Z32" s="8">
        <f t="shared" si="8"/>
        <v>850</v>
      </c>
      <c r="AA32" s="8">
        <f t="shared" si="9"/>
        <v>30</v>
      </c>
      <c r="AC32" s="9">
        <f t="shared" si="0"/>
        <v>160.25908352973642</v>
      </c>
      <c r="AD32" s="9">
        <f t="shared" si="1"/>
        <v>434.09137049018989</v>
      </c>
      <c r="AE32" s="9">
        <f t="shared" si="2"/>
        <v>4.9107091686989861</v>
      </c>
      <c r="AF32" s="9">
        <v>160.25908352973639</v>
      </c>
      <c r="AG32" s="9">
        <v>434.09137049018989</v>
      </c>
      <c r="AH32" s="9">
        <f t="shared" si="3"/>
        <v>4.9107091686990429</v>
      </c>
      <c r="AJ32" s="9">
        <f t="shared" si="4"/>
        <v>2.8617002511711301E-2</v>
      </c>
      <c r="AK32" s="9">
        <f t="shared" si="5"/>
        <v>4.5861345958950164</v>
      </c>
    </row>
    <row r="33" spans="23:37" x14ac:dyDescent="0.25">
      <c r="W33" s="4">
        <f t="shared" si="10"/>
        <v>46508</v>
      </c>
      <c r="X33" s="4">
        <f t="shared" si="7"/>
        <v>46538</v>
      </c>
      <c r="Y33" s="10">
        <f t="shared" si="6"/>
        <v>29</v>
      </c>
      <c r="Z33" s="8">
        <f t="shared" si="8"/>
        <v>881</v>
      </c>
      <c r="AA33" s="8">
        <f t="shared" si="9"/>
        <v>31</v>
      </c>
      <c r="AC33" s="9">
        <f t="shared" si="0"/>
        <v>153.58181925406086</v>
      </c>
      <c r="AD33" s="9">
        <f t="shared" si="1"/>
        <v>438.95465654547849</v>
      </c>
      <c r="AE33" s="9">
        <f t="shared" si="2"/>
        <v>4.8632860552885973</v>
      </c>
      <c r="AF33" s="9">
        <v>153.58181925406083</v>
      </c>
      <c r="AG33" s="9">
        <v>438.95465654547843</v>
      </c>
      <c r="AH33" s="9">
        <f t="shared" si="3"/>
        <v>4.8632860552885404</v>
      </c>
      <c r="AJ33" s="9">
        <f t="shared" si="4"/>
        <v>2.9482352510227648E-2</v>
      </c>
      <c r="AK33" s="9">
        <f t="shared" si="5"/>
        <v>4.5279533344102898</v>
      </c>
    </row>
    <row r="34" spans="23:37" x14ac:dyDescent="0.25">
      <c r="W34" s="4">
        <f t="shared" si="10"/>
        <v>46539</v>
      </c>
      <c r="X34" s="4">
        <f t="shared" si="7"/>
        <v>46568</v>
      </c>
      <c r="Y34" s="10">
        <f t="shared" si="6"/>
        <v>30</v>
      </c>
      <c r="Z34" s="8">
        <f t="shared" si="8"/>
        <v>911</v>
      </c>
      <c r="AA34" s="8">
        <f t="shared" si="9"/>
        <v>30</v>
      </c>
      <c r="AC34" s="9">
        <f t="shared" si="0"/>
        <v>147.55795518015734</v>
      </c>
      <c r="AD34" s="9">
        <f t="shared" si="1"/>
        <v>443.47072882748648</v>
      </c>
      <c r="AE34" s="9">
        <f t="shared" si="2"/>
        <v>4.5160722820079968</v>
      </c>
      <c r="AF34" s="9">
        <v>147.55795518015717</v>
      </c>
      <c r="AG34" s="9">
        <v>443.47072882748654</v>
      </c>
      <c r="AH34" s="9">
        <f t="shared" si="3"/>
        <v>4.5160722820081105</v>
      </c>
      <c r="AJ34" s="9">
        <f t="shared" si="4"/>
        <v>3.0319787992662817E-2</v>
      </c>
      <c r="AK34" s="9">
        <f t="shared" si="5"/>
        <v>4.4739259176932116</v>
      </c>
    </row>
    <row r="35" spans="23:37" x14ac:dyDescent="0.25">
      <c r="W35" s="4">
        <f t="shared" si="10"/>
        <v>46569</v>
      </c>
      <c r="X35" s="4">
        <f t="shared" si="7"/>
        <v>46599</v>
      </c>
      <c r="Y35" s="10">
        <f t="shared" si="6"/>
        <v>31</v>
      </c>
      <c r="Z35" s="8">
        <f t="shared" si="8"/>
        <v>942</v>
      </c>
      <c r="AA35" s="8">
        <f t="shared" si="9"/>
        <v>31</v>
      </c>
      <c r="AC35" s="9">
        <f t="shared" si="0"/>
        <v>141.74355746043173</v>
      </c>
      <c r="AD35" s="9">
        <f t="shared" si="1"/>
        <v>447.95387577286527</v>
      </c>
      <c r="AE35" s="9">
        <f t="shared" si="2"/>
        <v>4.4831469453787918</v>
      </c>
      <c r="AF35" s="9">
        <v>141.74355746043165</v>
      </c>
      <c r="AG35" s="9">
        <v>447.95387577286516</v>
      </c>
      <c r="AH35" s="9">
        <f t="shared" si="3"/>
        <v>4.4831469453786212</v>
      </c>
      <c r="AJ35" s="9">
        <f t="shared" si="4"/>
        <v>3.1185137991179161E-2</v>
      </c>
      <c r="AK35" s="9">
        <f t="shared" si="5"/>
        <v>4.4202923987641976</v>
      </c>
    </row>
    <row r="36" spans="23:37" x14ac:dyDescent="0.25">
      <c r="W36" s="4">
        <f t="shared" si="10"/>
        <v>46600</v>
      </c>
      <c r="X36" s="4">
        <f t="shared" si="7"/>
        <v>46630</v>
      </c>
      <c r="Y36" s="10">
        <f t="shared" si="6"/>
        <v>32</v>
      </c>
      <c r="Z36" s="8">
        <f t="shared" si="8"/>
        <v>973</v>
      </c>
      <c r="AA36" s="8">
        <f t="shared" si="9"/>
        <v>31</v>
      </c>
      <c r="AC36" s="9">
        <f t="shared" ref="AC36:AC64" si="11">_qi * (1 + _Dnom * _b * Z36)^(-1/_b)</f>
        <v>136.30818462302835</v>
      </c>
      <c r="AD36" s="9">
        <f t="shared" ref="AD36:AD64" si="12">IF(_b=1,
  _qi / _Dnom * LN((1 + _Dnom * _b * Z36)^(1/_b)),
  _qi / (_Dnom * (1 - _b)) * (1 - ((1 + _Dnom * _b * Z36)^(-(1 - _b) / _b)))
) / 1000</f>
        <v>452.26274445367517</v>
      </c>
      <c r="AE36" s="9">
        <f t="shared" ref="AE36:AE64" si="13">AD36-N(AD35)</f>
        <v>4.3088686808098942</v>
      </c>
      <c r="AF36" s="9">
        <v>136.30818462302832</v>
      </c>
      <c r="AG36" s="9">
        <v>452.26274445367505</v>
      </c>
      <c r="AH36" s="9">
        <f t="shared" si="3"/>
        <v>4.3088686808098942</v>
      </c>
      <c r="AJ36" s="9">
        <f t="shared" ref="AJ36:AJ64" si="14">AC36^-_b</f>
        <v>3.2050487989695529E-2</v>
      </c>
      <c r="AK36" s="9">
        <f t="shared" ref="AK36:AK64" si="15">IF(_b=1, LN(AC36), AC36^(1-_b))</f>
        <v>4.3687438341575699</v>
      </c>
    </row>
    <row r="37" spans="23:37" x14ac:dyDescent="0.25">
      <c r="W37" s="4">
        <f t="shared" si="10"/>
        <v>46631</v>
      </c>
      <c r="X37" s="4">
        <f t="shared" si="7"/>
        <v>46660</v>
      </c>
      <c r="Y37" s="10">
        <f t="shared" ref="Y37:Y64" si="16">MONTH($W37) - MONTH($W$5) + 12 * (YEAR($W37) - YEAR($W$5)) + 1</f>
        <v>33</v>
      </c>
      <c r="Z37" s="8">
        <f t="shared" si="8"/>
        <v>1003</v>
      </c>
      <c r="AA37" s="8">
        <f t="shared" si="9"/>
        <v>30</v>
      </c>
      <c r="AC37" s="9">
        <f t="shared" si="11"/>
        <v>131.37700364826043</v>
      </c>
      <c r="AD37" s="9">
        <f t="shared" si="12"/>
        <v>456.27725007567977</v>
      </c>
      <c r="AE37" s="9">
        <f t="shared" si="13"/>
        <v>4.0145056220046058</v>
      </c>
      <c r="AF37" s="9">
        <v>131.37700364826037</v>
      </c>
      <c r="AG37" s="9">
        <v>456.27725007567966</v>
      </c>
      <c r="AH37" s="9">
        <f t="shared" si="3"/>
        <v>4.0145056220046058</v>
      </c>
      <c r="AJ37" s="9">
        <f t="shared" si="14"/>
        <v>3.2887923472130695E-2</v>
      </c>
      <c r="AK37" s="9">
        <f t="shared" si="15"/>
        <v>4.3207168419818256</v>
      </c>
    </row>
    <row r="38" spans="23:37" x14ac:dyDescent="0.25">
      <c r="W38" s="4">
        <f t="shared" si="10"/>
        <v>46661</v>
      </c>
      <c r="X38" s="4">
        <f t="shared" si="7"/>
        <v>46691</v>
      </c>
      <c r="Y38" s="10">
        <f t="shared" si="16"/>
        <v>34</v>
      </c>
      <c r="Z38" s="8">
        <f t="shared" si="8"/>
        <v>1034</v>
      </c>
      <c r="AA38" s="8">
        <f t="shared" si="9"/>
        <v>31</v>
      </c>
      <c r="AC38" s="9">
        <f t="shared" si="11"/>
        <v>126.59188300227758</v>
      </c>
      <c r="AD38" s="9">
        <f t="shared" si="12"/>
        <v>460.27498814523284</v>
      </c>
      <c r="AE38" s="9">
        <f t="shared" si="13"/>
        <v>3.9977380695530655</v>
      </c>
      <c r="AF38" s="9">
        <v>126.59188300227751</v>
      </c>
      <c r="AG38" s="9">
        <v>460.27498814523278</v>
      </c>
      <c r="AH38" s="9">
        <f t="shared" si="3"/>
        <v>3.9977380695531224</v>
      </c>
      <c r="AJ38" s="9">
        <f t="shared" si="14"/>
        <v>3.3753273470647029E-2</v>
      </c>
      <c r="AK38" s="9">
        <f t="shared" si="15"/>
        <v>4.2728904461400301</v>
      </c>
    </row>
    <row r="39" spans="23:37" x14ac:dyDescent="0.25">
      <c r="W39" s="4">
        <f t="shared" si="10"/>
        <v>46692</v>
      </c>
      <c r="X39" s="4">
        <f t="shared" si="7"/>
        <v>46721</v>
      </c>
      <c r="Y39" s="10">
        <f t="shared" si="16"/>
        <v>35</v>
      </c>
      <c r="Z39" s="8">
        <f t="shared" si="8"/>
        <v>1064</v>
      </c>
      <c r="AA39" s="8">
        <f t="shared" si="9"/>
        <v>30</v>
      </c>
      <c r="AC39" s="9">
        <f t="shared" si="11"/>
        <v>122.23646077595666</v>
      </c>
      <c r="AD39" s="9">
        <f t="shared" si="12"/>
        <v>464.00676524858278</v>
      </c>
      <c r="AE39" s="9">
        <f t="shared" si="13"/>
        <v>3.7317771033499412</v>
      </c>
      <c r="AF39" s="9">
        <v>122.23646077595659</v>
      </c>
      <c r="AG39" s="9">
        <v>464.00676524858278</v>
      </c>
      <c r="AH39" s="9">
        <f t="shared" si="3"/>
        <v>3.731777103349998</v>
      </c>
      <c r="AJ39" s="9">
        <f t="shared" si="14"/>
        <v>3.4590708953082201E-2</v>
      </c>
      <c r="AK39" s="9">
        <f t="shared" si="15"/>
        <v>4.228245838155968</v>
      </c>
    </row>
    <row r="40" spans="23:37" x14ac:dyDescent="0.25">
      <c r="W40" s="4">
        <f t="shared" si="10"/>
        <v>46722</v>
      </c>
      <c r="X40" s="4">
        <f t="shared" si="7"/>
        <v>46752</v>
      </c>
      <c r="Y40" s="10">
        <f t="shared" si="16"/>
        <v>36</v>
      </c>
      <c r="Z40" s="8">
        <f t="shared" si="8"/>
        <v>1095</v>
      </c>
      <c r="AA40" s="8">
        <f t="shared" si="9"/>
        <v>31</v>
      </c>
      <c r="AC40" s="9">
        <f t="shared" si="11"/>
        <v>117.99694688449739</v>
      </c>
      <c r="AD40" s="9">
        <f t="shared" si="12"/>
        <v>467.72972587914347</v>
      </c>
      <c r="AE40" s="9">
        <f t="shared" si="13"/>
        <v>3.7229606305606922</v>
      </c>
      <c r="AF40" s="9">
        <v>117.99694688449738</v>
      </c>
      <c r="AG40" s="9">
        <v>467.72972587914342</v>
      </c>
      <c r="AH40" s="9">
        <f t="shared" si="3"/>
        <v>3.7229606305606353</v>
      </c>
      <c r="AJ40" s="9">
        <f t="shared" si="14"/>
        <v>3.5456058951598576E-2</v>
      </c>
      <c r="AK40" s="9">
        <f t="shared" si="15"/>
        <v>4.1837067048453846</v>
      </c>
    </row>
    <row r="41" spans="23:37" x14ac:dyDescent="0.25">
      <c r="W41" s="4">
        <f t="shared" si="10"/>
        <v>46753</v>
      </c>
      <c r="X41" s="4">
        <f t="shared" si="7"/>
        <v>46783</v>
      </c>
      <c r="Y41" s="10">
        <f t="shared" si="16"/>
        <v>37</v>
      </c>
      <c r="Z41" s="8">
        <f t="shared" si="8"/>
        <v>1126</v>
      </c>
      <c r="AA41" s="8">
        <f t="shared" si="9"/>
        <v>31</v>
      </c>
      <c r="AC41" s="9">
        <f t="shared" si="11"/>
        <v>114.00146889065904</v>
      </c>
      <c r="AD41" s="9">
        <f t="shared" si="12"/>
        <v>471.32509689927446</v>
      </c>
      <c r="AE41" s="9">
        <f t="shared" si="13"/>
        <v>3.5953710201309832</v>
      </c>
      <c r="AF41" s="9">
        <v>114.001468890659</v>
      </c>
      <c r="AG41" s="9">
        <v>471.32509689927434</v>
      </c>
      <c r="AH41" s="9">
        <f t="shared" si="3"/>
        <v>3.5953710201309264</v>
      </c>
      <c r="AJ41" s="9">
        <f t="shared" si="14"/>
        <v>3.6321408950114917E-2</v>
      </c>
      <c r="AK41" s="9">
        <f t="shared" si="15"/>
        <v>4.1406939724914302</v>
      </c>
    </row>
    <row r="42" spans="23:37" x14ac:dyDescent="0.25">
      <c r="W42" s="4">
        <f t="shared" si="10"/>
        <v>46784</v>
      </c>
      <c r="X42" s="4">
        <f t="shared" si="7"/>
        <v>46812</v>
      </c>
      <c r="Y42" s="10">
        <f t="shared" si="16"/>
        <v>38</v>
      </c>
      <c r="Z42" s="8">
        <f t="shared" si="8"/>
        <v>1155</v>
      </c>
      <c r="AA42" s="8">
        <f t="shared" si="9"/>
        <v>29</v>
      </c>
      <c r="AC42" s="9">
        <f t="shared" si="11"/>
        <v>110.46750223933243</v>
      </c>
      <c r="AD42" s="9">
        <f t="shared" si="12"/>
        <v>474.57943979832783</v>
      </c>
      <c r="AE42" s="9">
        <f t="shared" si="13"/>
        <v>3.2543428990533698</v>
      </c>
      <c r="AF42" s="9">
        <v>110.46750223933238</v>
      </c>
      <c r="AG42" s="9">
        <v>474.57943979832777</v>
      </c>
      <c r="AH42" s="9">
        <f t="shared" si="3"/>
        <v>3.2543428990534267</v>
      </c>
      <c r="AJ42" s="9">
        <f t="shared" si="14"/>
        <v>3.7130929916468915E-2</v>
      </c>
      <c r="AK42" s="9">
        <f t="shared" si="15"/>
        <v>4.1017610836960268</v>
      </c>
    </row>
    <row r="43" spans="23:37" x14ac:dyDescent="0.25">
      <c r="W43" s="4">
        <f t="shared" si="10"/>
        <v>46813</v>
      </c>
      <c r="X43" s="4">
        <f t="shared" si="7"/>
        <v>46843</v>
      </c>
      <c r="Y43" s="10">
        <f t="shared" si="16"/>
        <v>39</v>
      </c>
      <c r="Z43" s="8">
        <f t="shared" si="8"/>
        <v>1186</v>
      </c>
      <c r="AA43" s="8">
        <f t="shared" si="9"/>
        <v>31</v>
      </c>
      <c r="AC43" s="9">
        <f t="shared" si="11"/>
        <v>106.89104343808415</v>
      </c>
      <c r="AD43" s="9">
        <f t="shared" si="12"/>
        <v>477.94798034432688</v>
      </c>
      <c r="AE43" s="9">
        <f t="shared" si="13"/>
        <v>3.3685405459990534</v>
      </c>
      <c r="AF43" s="9">
        <v>106.89104343808414</v>
      </c>
      <c r="AG43" s="9">
        <v>477.94798034432682</v>
      </c>
      <c r="AH43" s="9">
        <f t="shared" si="3"/>
        <v>3.3685405459990534</v>
      </c>
      <c r="AJ43" s="9">
        <f t="shared" si="14"/>
        <v>3.7996279914985276E-2</v>
      </c>
      <c r="AK43" s="9">
        <f t="shared" si="15"/>
        <v>4.061462006878295</v>
      </c>
    </row>
    <row r="44" spans="23:37" x14ac:dyDescent="0.25">
      <c r="W44" s="4">
        <f t="shared" si="10"/>
        <v>46844</v>
      </c>
      <c r="X44" s="4">
        <f t="shared" si="7"/>
        <v>46873</v>
      </c>
      <c r="Y44" s="10">
        <f t="shared" si="16"/>
        <v>40</v>
      </c>
      <c r="Z44" s="8">
        <f t="shared" si="8"/>
        <v>1216</v>
      </c>
      <c r="AA44" s="8">
        <f t="shared" si="9"/>
        <v>30</v>
      </c>
      <c r="AC44" s="9">
        <f t="shared" si="11"/>
        <v>103.6133690002541</v>
      </c>
      <c r="AD44" s="9">
        <f t="shared" si="12"/>
        <v>481.10511270648612</v>
      </c>
      <c r="AE44" s="9">
        <f t="shared" si="13"/>
        <v>3.1571323621592455</v>
      </c>
      <c r="AF44" s="9">
        <v>103.61336900025408</v>
      </c>
      <c r="AG44" s="9">
        <v>481.10511270648601</v>
      </c>
      <c r="AH44" s="9">
        <f t="shared" si="3"/>
        <v>3.1571323621591887</v>
      </c>
      <c r="AJ44" s="9">
        <f t="shared" si="14"/>
        <v>3.8833715397420455E-2</v>
      </c>
      <c r="AK44" s="9">
        <f t="shared" si="15"/>
        <v>4.0236920831237732</v>
      </c>
    </row>
    <row r="45" spans="23:37" x14ac:dyDescent="0.25">
      <c r="W45" s="4">
        <f t="shared" si="10"/>
        <v>46874</v>
      </c>
      <c r="X45" s="4">
        <f t="shared" si="7"/>
        <v>46904</v>
      </c>
      <c r="Y45" s="10">
        <f t="shared" si="16"/>
        <v>41</v>
      </c>
      <c r="Z45" s="8">
        <f t="shared" si="8"/>
        <v>1247</v>
      </c>
      <c r="AA45" s="8">
        <f t="shared" si="9"/>
        <v>31</v>
      </c>
      <c r="AC45" s="9">
        <f t="shared" si="11"/>
        <v>100.40202066353692</v>
      </c>
      <c r="AD45" s="9">
        <f t="shared" si="12"/>
        <v>484.26690723249334</v>
      </c>
      <c r="AE45" s="9">
        <f t="shared" si="13"/>
        <v>3.1617945260072133</v>
      </c>
      <c r="AF45" s="9">
        <v>100.40202066353685</v>
      </c>
      <c r="AG45" s="9">
        <v>484.26690723249328</v>
      </c>
      <c r="AH45" s="9">
        <f t="shared" si="3"/>
        <v>3.1617945260072702</v>
      </c>
      <c r="AJ45" s="9">
        <f t="shared" si="14"/>
        <v>3.9699065395936775E-2</v>
      </c>
      <c r="AK45" s="9">
        <f t="shared" si="15"/>
        <v>3.9858663842059485</v>
      </c>
    </row>
    <row r="46" spans="23:37" x14ac:dyDescent="0.25">
      <c r="W46" s="4">
        <f t="shared" si="10"/>
        <v>46905</v>
      </c>
      <c r="X46" s="4">
        <f t="shared" si="7"/>
        <v>46934</v>
      </c>
      <c r="Y46" s="10">
        <f t="shared" si="16"/>
        <v>42</v>
      </c>
      <c r="Z46" s="8">
        <f t="shared" si="8"/>
        <v>1277</v>
      </c>
      <c r="AA46" s="8">
        <f t="shared" si="9"/>
        <v>30</v>
      </c>
      <c r="AC46" s="9">
        <f t="shared" si="11"/>
        <v>97.452068235819539</v>
      </c>
      <c r="AD46" s="9">
        <f t="shared" si="12"/>
        <v>487.2343446909083</v>
      </c>
      <c r="AE46" s="9">
        <f t="shared" si="13"/>
        <v>2.9674374584149632</v>
      </c>
      <c r="AF46" s="9">
        <v>97.45206823581951</v>
      </c>
      <c r="AG46" s="9">
        <v>487.23434469090819</v>
      </c>
      <c r="AH46" s="9">
        <f t="shared" si="3"/>
        <v>2.9674374584149064</v>
      </c>
      <c r="AJ46" s="9">
        <f t="shared" si="14"/>
        <v>4.0536500878371969E-2</v>
      </c>
      <c r="AK46" s="9">
        <f t="shared" si="15"/>
        <v>3.950365849640463</v>
      </c>
    </row>
    <row r="47" spans="23:37" x14ac:dyDescent="0.25">
      <c r="W47" s="4">
        <f t="shared" si="10"/>
        <v>46935</v>
      </c>
      <c r="X47" s="4">
        <f t="shared" si="7"/>
        <v>46965</v>
      </c>
      <c r="Y47" s="10">
        <f t="shared" si="16"/>
        <v>43</v>
      </c>
      <c r="Z47" s="8">
        <f t="shared" si="8"/>
        <v>1308</v>
      </c>
      <c r="AA47" s="8">
        <f t="shared" si="9"/>
        <v>31</v>
      </c>
      <c r="AC47" s="9">
        <f t="shared" si="11"/>
        <v>94.555340254554068</v>
      </c>
      <c r="AD47" s="9">
        <f t="shared" si="12"/>
        <v>490.21007565625052</v>
      </c>
      <c r="AE47" s="9">
        <f t="shared" si="13"/>
        <v>2.9757309653422226</v>
      </c>
      <c r="AF47" s="9">
        <v>94.555340254554025</v>
      </c>
      <c r="AG47" s="9">
        <v>490.21007565625047</v>
      </c>
      <c r="AH47" s="9">
        <f t="shared" si="3"/>
        <v>2.9757309653422794</v>
      </c>
      <c r="AJ47" s="9">
        <f t="shared" si="14"/>
        <v>4.1401850876888309E-2</v>
      </c>
      <c r="AK47" s="9">
        <f t="shared" si="15"/>
        <v>3.914766096832484</v>
      </c>
    </row>
    <row r="48" spans="23:37" x14ac:dyDescent="0.25">
      <c r="W48" s="4">
        <f t="shared" si="10"/>
        <v>46966</v>
      </c>
      <c r="X48" s="4">
        <f t="shared" si="7"/>
        <v>46996</v>
      </c>
      <c r="Y48" s="10">
        <f t="shared" si="16"/>
        <v>44</v>
      </c>
      <c r="Z48" s="8">
        <f t="shared" si="8"/>
        <v>1339</v>
      </c>
      <c r="AA48" s="8">
        <f t="shared" si="9"/>
        <v>31</v>
      </c>
      <c r="AC48" s="9">
        <f t="shared" si="11"/>
        <v>91.802003672335545</v>
      </c>
      <c r="AD48" s="9">
        <f t="shared" si="12"/>
        <v>493.09825717014286</v>
      </c>
      <c r="AE48" s="9">
        <f t="shared" si="13"/>
        <v>2.8881815138923344</v>
      </c>
      <c r="AF48" s="9">
        <v>91.802003672335488</v>
      </c>
      <c r="AG48" s="9">
        <v>493.0982571701428</v>
      </c>
      <c r="AH48" s="9">
        <f t="shared" si="3"/>
        <v>2.8881815138923344</v>
      </c>
      <c r="AJ48" s="9">
        <f t="shared" si="14"/>
        <v>4.2267200875404656E-2</v>
      </c>
      <c r="AK48" s="9">
        <f t="shared" si="15"/>
        <v>3.8802137299832435</v>
      </c>
    </row>
    <row r="49" spans="23:37" x14ac:dyDescent="0.25">
      <c r="W49" s="4">
        <f t="shared" si="10"/>
        <v>46997</v>
      </c>
      <c r="X49" s="4">
        <f t="shared" si="7"/>
        <v>47026</v>
      </c>
      <c r="Y49" s="10">
        <f t="shared" si="16"/>
        <v>45</v>
      </c>
      <c r="Z49" s="8">
        <f t="shared" si="8"/>
        <v>1369</v>
      </c>
      <c r="AA49" s="8">
        <f t="shared" si="9"/>
        <v>30</v>
      </c>
      <c r="AC49" s="9">
        <f t="shared" si="11"/>
        <v>89.264755658412341</v>
      </c>
      <c r="AD49" s="9">
        <f t="shared" si="12"/>
        <v>495.81395633815947</v>
      </c>
      <c r="AE49" s="9">
        <f t="shared" si="13"/>
        <v>2.7156991680166129</v>
      </c>
      <c r="AF49" s="9">
        <v>89.264755658412312</v>
      </c>
      <c r="AG49" s="9">
        <v>495.81395633815936</v>
      </c>
      <c r="AH49" s="9">
        <f t="shared" si="3"/>
        <v>2.7156991680165561</v>
      </c>
      <c r="AJ49" s="9">
        <f t="shared" si="14"/>
        <v>4.3104636357839836E-2</v>
      </c>
      <c r="AK49" s="9">
        <f t="shared" si="15"/>
        <v>3.8477248322272892</v>
      </c>
    </row>
    <row r="50" spans="23:37" x14ac:dyDescent="0.25">
      <c r="W50" s="4">
        <f t="shared" si="10"/>
        <v>47027</v>
      </c>
      <c r="X50" s="4">
        <f t="shared" si="7"/>
        <v>47057</v>
      </c>
      <c r="Y50" s="10">
        <f t="shared" si="16"/>
        <v>46</v>
      </c>
      <c r="Z50" s="8">
        <f t="shared" si="8"/>
        <v>1400</v>
      </c>
      <c r="AA50" s="8">
        <f t="shared" si="9"/>
        <v>31</v>
      </c>
      <c r="AC50" s="9">
        <f t="shared" si="11"/>
        <v>86.765704770677715</v>
      </c>
      <c r="AD50" s="9">
        <f t="shared" si="12"/>
        <v>498.54211684268421</v>
      </c>
      <c r="AE50" s="9">
        <f t="shared" si="13"/>
        <v>2.7281605045247375</v>
      </c>
      <c r="AF50" s="9">
        <v>86.765704770677715</v>
      </c>
      <c r="AG50" s="9">
        <v>498.54211684268398</v>
      </c>
      <c r="AH50" s="9">
        <f t="shared" si="3"/>
        <v>2.7281605045246238</v>
      </c>
      <c r="AJ50" s="9">
        <f t="shared" si="14"/>
        <v>4.396998635635619E-2</v>
      </c>
      <c r="AK50" s="9">
        <f t="shared" si="15"/>
        <v>3.8150868549663288</v>
      </c>
    </row>
    <row r="51" spans="23:37" x14ac:dyDescent="0.25">
      <c r="W51" s="4">
        <f t="shared" si="10"/>
        <v>47058</v>
      </c>
      <c r="X51" s="4">
        <f t="shared" si="7"/>
        <v>47087</v>
      </c>
      <c r="Y51" s="10">
        <f t="shared" si="16"/>
        <v>47</v>
      </c>
      <c r="Z51" s="8">
        <f t="shared" si="8"/>
        <v>1430</v>
      </c>
      <c r="AA51" s="8">
        <f t="shared" si="9"/>
        <v>30</v>
      </c>
      <c r="AC51" s="9">
        <f t="shared" si="11"/>
        <v>84.458413685221672</v>
      </c>
      <c r="AD51" s="9">
        <f t="shared" si="12"/>
        <v>501.11021433166064</v>
      </c>
      <c r="AE51" s="9">
        <f t="shared" si="13"/>
        <v>2.5680974889764343</v>
      </c>
      <c r="AF51" s="9">
        <v>84.458413685221657</v>
      </c>
      <c r="AG51" s="9">
        <v>501.11021433166059</v>
      </c>
      <c r="AH51" s="9">
        <f t="shared" si="3"/>
        <v>2.5680974889766048</v>
      </c>
      <c r="AJ51" s="9">
        <f t="shared" si="14"/>
        <v>4.4807421838791377E-2</v>
      </c>
      <c r="AK51" s="9">
        <f t="shared" si="15"/>
        <v>3.7843637698288766</v>
      </c>
    </row>
    <row r="52" spans="23:37" x14ac:dyDescent="0.25">
      <c r="W52" s="4">
        <f t="shared" si="10"/>
        <v>47088</v>
      </c>
      <c r="X52" s="4">
        <f t="shared" si="7"/>
        <v>47118</v>
      </c>
      <c r="Y52" s="10">
        <f t="shared" si="16"/>
        <v>48</v>
      </c>
      <c r="Z52" s="8">
        <f t="shared" si="8"/>
        <v>1461</v>
      </c>
      <c r="AA52" s="8">
        <f t="shared" si="9"/>
        <v>31</v>
      </c>
      <c r="AC52" s="9">
        <f t="shared" si="11"/>
        <v>82.181712469546696</v>
      </c>
      <c r="AD52" s="9">
        <f t="shared" si="12"/>
        <v>503.69286306810284</v>
      </c>
      <c r="AE52" s="9">
        <f t="shared" si="13"/>
        <v>2.5826487364421951</v>
      </c>
      <c r="AF52" s="9">
        <v>82.181712469546639</v>
      </c>
      <c r="AG52" s="9">
        <v>503.69286306810278</v>
      </c>
      <c r="AH52" s="9">
        <f t="shared" si="3"/>
        <v>2.5826487364421951</v>
      </c>
      <c r="AJ52" s="9">
        <f t="shared" si="14"/>
        <v>4.567277183730771E-2</v>
      </c>
      <c r="AK52" s="9">
        <f t="shared" si="15"/>
        <v>3.7534666028208332</v>
      </c>
    </row>
    <row r="53" spans="23:37" x14ac:dyDescent="0.25">
      <c r="W53" s="4">
        <f t="shared" si="10"/>
        <v>47119</v>
      </c>
      <c r="X53" s="4">
        <f t="shared" si="7"/>
        <v>47149</v>
      </c>
      <c r="Y53" s="10">
        <f t="shared" si="16"/>
        <v>49</v>
      </c>
      <c r="Z53" s="8">
        <f t="shared" si="8"/>
        <v>1492</v>
      </c>
      <c r="AA53" s="8">
        <f t="shared" si="9"/>
        <v>31</v>
      </c>
      <c r="AC53" s="9">
        <f t="shared" si="11"/>
        <v>80.007409893232818</v>
      </c>
      <c r="AD53" s="9">
        <f t="shared" si="12"/>
        <v>506.20653843177178</v>
      </c>
      <c r="AE53" s="9">
        <f t="shared" si="13"/>
        <v>2.5136753636689377</v>
      </c>
      <c r="AF53" s="9">
        <v>80.007409893232733</v>
      </c>
      <c r="AG53" s="9">
        <v>506.20653843177166</v>
      </c>
      <c r="AH53" s="9">
        <f t="shared" si="3"/>
        <v>2.5136753636688809</v>
      </c>
      <c r="AJ53" s="9">
        <f t="shared" si="14"/>
        <v>4.6538121835824064E-2</v>
      </c>
      <c r="AK53" s="9">
        <f t="shared" si="15"/>
        <v>3.7233945893799829</v>
      </c>
    </row>
    <row r="54" spans="23:37" x14ac:dyDescent="0.25">
      <c r="W54" s="4">
        <f t="shared" si="10"/>
        <v>47150</v>
      </c>
      <c r="X54" s="4">
        <f t="shared" si="7"/>
        <v>47177</v>
      </c>
      <c r="Y54" s="10">
        <f t="shared" si="16"/>
        <v>50</v>
      </c>
      <c r="Z54" s="8">
        <f t="shared" si="8"/>
        <v>1520</v>
      </c>
      <c r="AA54" s="8">
        <f t="shared" si="9"/>
        <v>28</v>
      </c>
      <c r="AC54" s="9">
        <f t="shared" si="11"/>
        <v>78.126217230564279</v>
      </c>
      <c r="AD54" s="9">
        <f t="shared" si="12"/>
        <v>508.42023166488667</v>
      </c>
      <c r="AE54" s="9">
        <f t="shared" si="13"/>
        <v>2.2136932331148955</v>
      </c>
      <c r="AF54" s="9">
        <v>78.126217230564265</v>
      </c>
      <c r="AG54" s="9">
        <v>508.4202316648865</v>
      </c>
      <c r="AH54" s="9">
        <f t="shared" si="3"/>
        <v>2.2136932331148387</v>
      </c>
      <c r="AJ54" s="9">
        <f t="shared" si="14"/>
        <v>4.7319728286096915E-2</v>
      </c>
      <c r="AK54" s="9">
        <f t="shared" si="15"/>
        <v>3.6969113713708825</v>
      </c>
    </row>
    <row r="55" spans="23:37" x14ac:dyDescent="0.25">
      <c r="W55" s="4">
        <f t="shared" si="10"/>
        <v>47178</v>
      </c>
      <c r="X55" s="4">
        <f t="shared" si="7"/>
        <v>47208</v>
      </c>
      <c r="Y55" s="10">
        <f t="shared" si="16"/>
        <v>51</v>
      </c>
      <c r="Z55" s="8">
        <f t="shared" si="8"/>
        <v>1551</v>
      </c>
      <c r="AA55" s="8">
        <f t="shared" si="9"/>
        <v>31</v>
      </c>
      <c r="AC55" s="9">
        <f t="shared" si="11"/>
        <v>76.129586864255174</v>
      </c>
      <c r="AD55" s="9">
        <f t="shared" si="12"/>
        <v>510.81096962607501</v>
      </c>
      <c r="AE55" s="9">
        <f t="shared" si="13"/>
        <v>2.3907379611883357</v>
      </c>
      <c r="AF55" s="9">
        <v>76.129586864255131</v>
      </c>
      <c r="AG55" s="9">
        <v>510.81096962607495</v>
      </c>
      <c r="AH55" s="9">
        <f t="shared" si="3"/>
        <v>2.3907379611884494</v>
      </c>
      <c r="AJ55" s="9">
        <f t="shared" si="14"/>
        <v>4.8185078284613214E-2</v>
      </c>
      <c r="AK55" s="9">
        <f t="shared" si="15"/>
        <v>3.6683101028293992</v>
      </c>
    </row>
    <row r="56" spans="23:37" x14ac:dyDescent="0.25">
      <c r="W56" s="4">
        <f t="shared" si="10"/>
        <v>47209</v>
      </c>
      <c r="X56" s="4">
        <f t="shared" si="7"/>
        <v>47238</v>
      </c>
      <c r="Y56" s="10">
        <f t="shared" si="16"/>
        <v>52</v>
      </c>
      <c r="Z56" s="8">
        <f t="shared" si="8"/>
        <v>1581</v>
      </c>
      <c r="AA56" s="8">
        <f t="shared" si="9"/>
        <v>30</v>
      </c>
      <c r="AC56" s="9">
        <f t="shared" si="11"/>
        <v>74.27855751978008</v>
      </c>
      <c r="AD56" s="9">
        <f t="shared" si="12"/>
        <v>513.06689815428854</v>
      </c>
      <c r="AE56" s="9">
        <f t="shared" si="13"/>
        <v>2.2559285282135306</v>
      </c>
      <c r="AF56" s="9">
        <v>74.278557519780065</v>
      </c>
      <c r="AG56" s="9">
        <v>513.06689815428842</v>
      </c>
      <c r="AH56" s="9">
        <f t="shared" si="3"/>
        <v>2.2559285282134738</v>
      </c>
      <c r="AJ56" s="9">
        <f t="shared" si="14"/>
        <v>4.9022513767048415E-2</v>
      </c>
      <c r="AK56" s="9">
        <f t="shared" si="15"/>
        <v>3.6413216086099163</v>
      </c>
    </row>
    <row r="57" spans="23:37" x14ac:dyDescent="0.25">
      <c r="W57" s="4">
        <f t="shared" si="10"/>
        <v>47239</v>
      </c>
      <c r="X57" s="4">
        <f t="shared" si="7"/>
        <v>47269</v>
      </c>
      <c r="Y57" s="10">
        <f t="shared" si="16"/>
        <v>53</v>
      </c>
      <c r="Z57" s="8">
        <f t="shared" si="8"/>
        <v>1612</v>
      </c>
      <c r="AA57" s="8">
        <f t="shared" si="9"/>
        <v>31</v>
      </c>
      <c r="AC57" s="9">
        <f t="shared" si="11"/>
        <v>72.444809534617534</v>
      </c>
      <c r="AD57" s="9">
        <f t="shared" si="12"/>
        <v>515.34090903831088</v>
      </c>
      <c r="AE57" s="9">
        <f t="shared" si="13"/>
        <v>2.2740108840223456</v>
      </c>
      <c r="AF57" s="9">
        <v>72.444809534617491</v>
      </c>
      <c r="AG57" s="9">
        <v>515.34090903831088</v>
      </c>
      <c r="AH57" s="9">
        <f t="shared" si="3"/>
        <v>2.2740108840224593</v>
      </c>
      <c r="AJ57" s="9">
        <f t="shared" si="14"/>
        <v>4.9887863765564748E-2</v>
      </c>
      <c r="AK57" s="9">
        <f t="shared" si="15"/>
        <v>3.6141167885852865</v>
      </c>
    </row>
    <row r="58" spans="23:37" x14ac:dyDescent="0.25">
      <c r="W58" s="4">
        <f t="shared" si="10"/>
        <v>47270</v>
      </c>
      <c r="X58" s="4">
        <f t="shared" si="7"/>
        <v>47299</v>
      </c>
      <c r="Y58" s="10">
        <f t="shared" si="16"/>
        <v>54</v>
      </c>
      <c r="Z58" s="8">
        <f t="shared" si="8"/>
        <v>1642</v>
      </c>
      <c r="AA58" s="8">
        <f t="shared" si="9"/>
        <v>30</v>
      </c>
      <c r="AC58" s="9">
        <f t="shared" si="11"/>
        <v>70.742290519972343</v>
      </c>
      <c r="AD58" s="9">
        <f t="shared" si="12"/>
        <v>517.48854346588735</v>
      </c>
      <c r="AE58" s="9">
        <f t="shared" si="13"/>
        <v>2.1476344275764632</v>
      </c>
      <c r="AF58" s="9">
        <v>70.7422905199723</v>
      </c>
      <c r="AG58" s="9">
        <v>517.48854346588723</v>
      </c>
      <c r="AH58" s="9">
        <f t="shared" si="3"/>
        <v>2.1476344275763495</v>
      </c>
      <c r="AJ58" s="9">
        <f t="shared" si="14"/>
        <v>5.0725299247999928E-2</v>
      </c>
      <c r="AK58" s="9">
        <f t="shared" si="15"/>
        <v>3.5884238561145461</v>
      </c>
    </row>
    <row r="59" spans="23:37" x14ac:dyDescent="0.25">
      <c r="W59" s="4">
        <f t="shared" si="10"/>
        <v>47300</v>
      </c>
      <c r="X59" s="4">
        <f t="shared" si="7"/>
        <v>47330</v>
      </c>
      <c r="Y59" s="10">
        <f t="shared" si="16"/>
        <v>55</v>
      </c>
      <c r="Z59" s="8">
        <f t="shared" si="8"/>
        <v>1673</v>
      </c>
      <c r="AA59" s="8">
        <f t="shared" si="9"/>
        <v>31</v>
      </c>
      <c r="AC59" s="9">
        <f t="shared" si="11"/>
        <v>69.053277306216827</v>
      </c>
      <c r="AD59" s="9">
        <f t="shared" si="12"/>
        <v>519.6551955222584</v>
      </c>
      <c r="AE59" s="9">
        <f t="shared" si="13"/>
        <v>2.1666520563710492</v>
      </c>
      <c r="AF59" s="9">
        <v>69.053277306216813</v>
      </c>
      <c r="AG59" s="9">
        <v>519.65519552225828</v>
      </c>
      <c r="AH59" s="9">
        <f t="shared" si="3"/>
        <v>2.1666520563710492</v>
      </c>
      <c r="AJ59" s="9">
        <f t="shared" si="14"/>
        <v>5.1590649246516303E-2</v>
      </c>
      <c r="AK59" s="9">
        <f t="shared" si="15"/>
        <v>3.5625034088274563</v>
      </c>
    </row>
    <row r="60" spans="23:37" x14ac:dyDescent="0.25">
      <c r="W60" s="4">
        <f t="shared" si="10"/>
        <v>47331</v>
      </c>
      <c r="X60" s="4">
        <f t="shared" si="7"/>
        <v>47361</v>
      </c>
      <c r="Y60" s="10">
        <f t="shared" si="16"/>
        <v>56</v>
      </c>
      <c r="Z60" s="8">
        <f t="shared" si="8"/>
        <v>1704</v>
      </c>
      <c r="AA60" s="8">
        <f t="shared" si="9"/>
        <v>31</v>
      </c>
      <c r="AC60" s="9">
        <f t="shared" si="11"/>
        <v>67.43169102021173</v>
      </c>
      <c r="AD60" s="9">
        <f t="shared" si="12"/>
        <v>521.77054330456815</v>
      </c>
      <c r="AE60" s="9">
        <f t="shared" si="13"/>
        <v>2.1153477823097546</v>
      </c>
      <c r="AF60" s="9">
        <v>67.43169102021173</v>
      </c>
      <c r="AG60" s="9">
        <v>521.77054330456815</v>
      </c>
      <c r="AH60" s="9">
        <f t="shared" si="3"/>
        <v>2.1153477823098683</v>
      </c>
      <c r="AJ60" s="9">
        <f t="shared" si="14"/>
        <v>5.2455999245032643E-2</v>
      </c>
      <c r="AK60" s="9">
        <f t="shared" si="15"/>
        <v>3.5371967332475012</v>
      </c>
    </row>
    <row r="61" spans="23:37" x14ac:dyDescent="0.25">
      <c r="W61" s="4">
        <f t="shared" si="10"/>
        <v>47362</v>
      </c>
      <c r="X61" s="4">
        <f t="shared" si="7"/>
        <v>47391</v>
      </c>
      <c r="Y61" s="10">
        <f t="shared" si="16"/>
        <v>57</v>
      </c>
      <c r="Z61" s="8">
        <f t="shared" si="8"/>
        <v>1734</v>
      </c>
      <c r="AA61" s="8">
        <f t="shared" si="9"/>
        <v>30</v>
      </c>
      <c r="AC61" s="9">
        <f t="shared" si="11"/>
        <v>65.923089961402496</v>
      </c>
      <c r="AD61" s="9">
        <f t="shared" si="12"/>
        <v>523.77071995111396</v>
      </c>
      <c r="AE61" s="9">
        <f t="shared" si="13"/>
        <v>2.0001766465458104</v>
      </c>
      <c r="AF61" s="9">
        <v>65.923089961402454</v>
      </c>
      <c r="AG61" s="9">
        <v>523.77071995111396</v>
      </c>
      <c r="AH61" s="9">
        <f t="shared" si="3"/>
        <v>2.0001766465458104</v>
      </c>
      <c r="AJ61" s="9">
        <f t="shared" si="14"/>
        <v>5.3293434727467802E-2</v>
      </c>
      <c r="AK61" s="9">
        <f t="shared" si="15"/>
        <v>3.513267891890993</v>
      </c>
    </row>
    <row r="62" spans="23:37" x14ac:dyDescent="0.25">
      <c r="W62" s="4">
        <f t="shared" si="10"/>
        <v>47392</v>
      </c>
      <c r="X62" s="4">
        <f t="shared" si="7"/>
        <v>47422</v>
      </c>
      <c r="Y62" s="10">
        <f t="shared" si="16"/>
        <v>58</v>
      </c>
      <c r="Z62" s="8">
        <f t="shared" si="8"/>
        <v>1765</v>
      </c>
      <c r="AA62" s="8">
        <f t="shared" si="9"/>
        <v>31</v>
      </c>
      <c r="AC62" s="9">
        <f t="shared" si="11"/>
        <v>64.423514527805892</v>
      </c>
      <c r="AD62" s="9">
        <f t="shared" si="12"/>
        <v>525.79094078682215</v>
      </c>
      <c r="AE62" s="9">
        <f t="shared" si="13"/>
        <v>2.0202208357081872</v>
      </c>
      <c r="AF62" s="9">
        <v>64.423514527805835</v>
      </c>
      <c r="AG62" s="9">
        <v>525.79094078682203</v>
      </c>
      <c r="AH62" s="9">
        <f t="shared" si="3"/>
        <v>2.0202208357080735</v>
      </c>
      <c r="AJ62" s="9">
        <f t="shared" si="14"/>
        <v>5.4158784725984135E-2</v>
      </c>
      <c r="AK62" s="9">
        <f t="shared" si="15"/>
        <v>3.4890992546027517</v>
      </c>
    </row>
    <row r="63" spans="23:37" x14ac:dyDescent="0.25">
      <c r="W63" s="4">
        <f t="shared" si="10"/>
        <v>47423</v>
      </c>
      <c r="X63" s="4">
        <f t="shared" si="7"/>
        <v>47452</v>
      </c>
      <c r="Y63" s="10">
        <f t="shared" si="16"/>
        <v>59</v>
      </c>
      <c r="Z63" s="8">
        <f t="shared" si="8"/>
        <v>1795</v>
      </c>
      <c r="AA63" s="8">
        <f t="shared" si="9"/>
        <v>30</v>
      </c>
      <c r="AC63" s="9">
        <f t="shared" si="11"/>
        <v>63.026691653563894</v>
      </c>
      <c r="AD63" s="9">
        <f t="shared" si="12"/>
        <v>527.70256375078986</v>
      </c>
      <c r="AE63" s="9">
        <f t="shared" si="13"/>
        <v>1.9116229639677158</v>
      </c>
      <c r="AF63" s="9">
        <v>63.026691653563894</v>
      </c>
      <c r="AG63" s="9">
        <v>527.70256375078975</v>
      </c>
      <c r="AH63" s="9">
        <f t="shared" si="3"/>
        <v>1.9116229639677158</v>
      </c>
      <c r="AJ63" s="9">
        <f t="shared" si="14"/>
        <v>5.4996220208419343E-2</v>
      </c>
      <c r="AK63" s="9">
        <f t="shared" si="15"/>
        <v>3.4662298131875442</v>
      </c>
    </row>
    <row r="64" spans="23:37" x14ac:dyDescent="0.25">
      <c r="W64" s="4">
        <f t="shared" si="10"/>
        <v>47453</v>
      </c>
      <c r="X64" s="4">
        <f t="shared" si="7"/>
        <v>47483</v>
      </c>
      <c r="Y64" s="10">
        <f t="shared" si="16"/>
        <v>60</v>
      </c>
      <c r="Z64" s="8">
        <f t="shared" si="8"/>
        <v>1826</v>
      </c>
      <c r="AA64" s="8">
        <f t="shared" si="9"/>
        <v>31</v>
      </c>
      <c r="AC64" s="9">
        <f t="shared" si="11"/>
        <v>61.636557225653966</v>
      </c>
      <c r="AD64" s="9">
        <f t="shared" si="12"/>
        <v>529.63470794916486</v>
      </c>
      <c r="AE64" s="9">
        <f t="shared" si="13"/>
        <v>1.9321441983749992</v>
      </c>
      <c r="AF64" s="9">
        <v>61.636557225653966</v>
      </c>
      <c r="AG64" s="9">
        <v>529.63470794916486</v>
      </c>
      <c r="AH64" s="9">
        <f t="shared" si="3"/>
        <v>1.9321441983751129</v>
      </c>
      <c r="AJ64" s="9">
        <f t="shared" si="14"/>
        <v>5.5861570206935704E-2</v>
      </c>
      <c r="AK64" s="9">
        <f t="shared" si="15"/>
        <v>3.4431148687746789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_b</vt:lpstr>
      <vt:lpstr>_Di</vt:lpstr>
      <vt:lpstr>_Dnom</vt:lpstr>
      <vt:lpstr>_qi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Fulford</dc:creator>
  <cp:lastModifiedBy>David Fulford</cp:lastModifiedBy>
  <dcterms:created xsi:type="dcterms:W3CDTF">2025-10-06T17:02:04Z</dcterms:created>
  <dcterms:modified xsi:type="dcterms:W3CDTF">2025-12-18T19:06:39Z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d020cd-7103-454c-acfe-7a0670648cbe_Enabled">
    <vt:lpwstr>true</vt:lpwstr>
  </property>
  <property fmtid="{D5CDD505-2E9C-101B-9397-08002B2CF9AE}" pid="3" name="MSIP_Label_69d020cd-7103-454c-acfe-7a0670648cbe_SetDate">
    <vt:lpwstr>2025-10-06T17:06:32Z</vt:lpwstr>
  </property>
  <property fmtid="{D5CDD505-2E9C-101B-9397-08002B2CF9AE}" pid="4" name="MSIP_Label_69d020cd-7103-454c-acfe-7a0670648cbe_Method">
    <vt:lpwstr>Standard</vt:lpwstr>
  </property>
  <property fmtid="{D5CDD505-2E9C-101B-9397-08002B2CF9AE}" pid="5" name="MSIP_Label_69d020cd-7103-454c-acfe-7a0670648cbe_Name">
    <vt:lpwstr>69d020cd-7103-454c-acfe-7a0670648cbe</vt:lpwstr>
  </property>
  <property fmtid="{D5CDD505-2E9C-101B-9397-08002B2CF9AE}" pid="6" name="MSIP_Label_69d020cd-7103-454c-acfe-7a0670648cbe_SiteId">
    <vt:lpwstr>02bca868-f3f0-40c7-9347-1feeae38238e</vt:lpwstr>
  </property>
  <property fmtid="{D5CDD505-2E9C-101B-9397-08002B2CF9AE}" pid="7" name="MSIP_Label_69d020cd-7103-454c-acfe-7a0670648cbe_ActionId">
    <vt:lpwstr>53be4ef3-1e9a-42c7-854e-480b63e08787</vt:lpwstr>
  </property>
  <property fmtid="{D5CDD505-2E9C-101B-9397-08002B2CF9AE}" pid="8" name="MSIP_Label_69d020cd-7103-454c-acfe-7a0670648cbe_ContentBits">
    <vt:lpwstr>0</vt:lpwstr>
  </property>
  <property fmtid="{D5CDD505-2E9C-101B-9397-08002B2CF9AE}" pid="9" name="MSIP_Label_69d020cd-7103-454c-acfe-7a0670648cbe_Tag">
    <vt:lpwstr>10, 3, 0, 1</vt:lpwstr>
  </property>
</Properties>
</file>